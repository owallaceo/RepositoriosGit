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defaultThemeVersion="124226"/>
  <bookViews>
    <workbookView xWindow="480" yWindow="45" windowWidth="11595" windowHeight="8445" activeTab="4"/>
  </bookViews>
  <sheets>
    <sheet name="Compra Carnes" sheetId="6" r:id="rId1"/>
    <sheet name="STOCK" sheetId="2" r:id="rId2"/>
    <sheet name="pauta-compra" sheetId="3" r:id="rId3"/>
    <sheet name="Hoja1" sheetId="5" r:id="rId4"/>
    <sheet name="Guia Entr-Ali.Casi." sheetId="4" r:id="rId5"/>
    <sheet name="Gia C.Mensual" sheetId="7" r:id="rId6"/>
    <sheet name="Hoja2" sheetId="8" r:id="rId7"/>
  </sheets>
  <definedNames>
    <definedName name="_xlnm.Print_Area" localSheetId="2">'pauta-compra'!$A$1:$I$97</definedName>
    <definedName name="_xlnm.Print_Area" localSheetId="1">STOCK!$A$70:$F$94</definedName>
  </definedNames>
  <calcPr calcId="145621"/>
</workbook>
</file>

<file path=xl/calcChain.xml><?xml version="1.0" encoding="utf-8"?>
<calcChain xmlns="http://schemas.openxmlformats.org/spreadsheetml/2006/main">
  <c r="I66" i="8" l="1"/>
  <c r="I65" i="8"/>
  <c r="I64" i="8"/>
  <c r="I63" i="8"/>
  <c r="I62" i="8"/>
  <c r="F61" i="8"/>
  <c r="E61" i="8"/>
  <c r="E60" i="8"/>
  <c r="F60" i="8" s="1"/>
  <c r="E59" i="8"/>
  <c r="F59" i="8" s="1"/>
  <c r="E58" i="8"/>
  <c r="F58" i="8" s="1"/>
  <c r="E57" i="8"/>
  <c r="F57" i="8" s="1"/>
  <c r="F56" i="8"/>
  <c r="E56" i="8"/>
  <c r="E55" i="8"/>
  <c r="F55" i="8" s="1"/>
  <c r="E54" i="8"/>
  <c r="F54" i="8" s="1"/>
  <c r="G54" i="8" s="1"/>
  <c r="E53" i="8"/>
  <c r="F53" i="8" s="1"/>
  <c r="G53" i="8" s="1"/>
  <c r="E52" i="8"/>
  <c r="F52" i="8" s="1"/>
  <c r="G52" i="8" s="1"/>
  <c r="E51" i="8"/>
  <c r="F51" i="8" s="1"/>
  <c r="G51" i="8" s="1"/>
  <c r="E50" i="8"/>
  <c r="F50" i="8" s="1"/>
  <c r="G50" i="8" s="1"/>
  <c r="E49" i="8"/>
  <c r="F49" i="8" s="1"/>
  <c r="G49" i="8" s="1"/>
  <c r="F48" i="8"/>
  <c r="G48" i="8" s="1"/>
  <c r="E48" i="8"/>
  <c r="F47" i="8"/>
  <c r="G47" i="8" s="1"/>
  <c r="E47" i="8"/>
  <c r="F46" i="8"/>
  <c r="G46" i="8" s="1"/>
  <c r="E46" i="8"/>
  <c r="F45" i="8"/>
  <c r="G45" i="8" s="1"/>
  <c r="E45" i="8"/>
  <c r="E44" i="8"/>
  <c r="F44" i="8" s="1"/>
  <c r="G44" i="8" s="1"/>
  <c r="E43" i="8"/>
  <c r="F43" i="8" s="1"/>
  <c r="G43" i="8" s="1"/>
  <c r="E42" i="8"/>
  <c r="F42" i="8" s="1"/>
  <c r="G42" i="8" s="1"/>
  <c r="E41" i="8"/>
  <c r="F41" i="8" s="1"/>
  <c r="G41" i="8" s="1"/>
  <c r="E40" i="8"/>
  <c r="F40" i="8" s="1"/>
  <c r="G40" i="8" s="1"/>
  <c r="E39" i="8"/>
  <c r="F39" i="8" s="1"/>
  <c r="G39" i="8" s="1"/>
  <c r="E38" i="8"/>
  <c r="F38" i="8" s="1"/>
  <c r="G38" i="8" s="1"/>
  <c r="E37" i="8"/>
  <c r="F37" i="8" s="1"/>
  <c r="G37" i="8" s="1"/>
  <c r="F36" i="8"/>
  <c r="G36" i="8" s="1"/>
  <c r="E36" i="8"/>
  <c r="E35" i="8"/>
  <c r="F35" i="8" s="1"/>
  <c r="G35" i="8" s="1"/>
  <c r="E34" i="8"/>
  <c r="F34" i="8" s="1"/>
  <c r="G34" i="8" s="1"/>
  <c r="E33" i="8"/>
  <c r="F33" i="8" s="1"/>
  <c r="G33" i="8" s="1"/>
  <c r="E32" i="8"/>
  <c r="F32" i="8" s="1"/>
  <c r="G32" i="8" s="1"/>
  <c r="E31" i="8"/>
  <c r="F31" i="8" s="1"/>
  <c r="G31" i="8" s="1"/>
  <c r="F30" i="8"/>
  <c r="G30" i="8" s="1"/>
  <c r="E30" i="8"/>
  <c r="E29" i="8"/>
  <c r="F29" i="8" s="1"/>
  <c r="G29" i="8" s="1"/>
  <c r="E28" i="8"/>
  <c r="F28" i="8" s="1"/>
  <c r="G28" i="8" s="1"/>
  <c r="E27" i="8"/>
  <c r="F27" i="8" s="1"/>
  <c r="G27" i="8" s="1"/>
  <c r="F26" i="8"/>
  <c r="G26" i="8" s="1"/>
  <c r="E26" i="8"/>
  <c r="E25" i="8"/>
  <c r="F25" i="8" s="1"/>
  <c r="G25" i="8" s="1"/>
  <c r="G24" i="8"/>
  <c r="E24" i="8"/>
  <c r="E23" i="8"/>
  <c r="F23" i="8" s="1"/>
  <c r="G23" i="8" s="1"/>
  <c r="E22" i="8"/>
  <c r="F22" i="8" s="1"/>
  <c r="G22" i="8" s="1"/>
  <c r="F21" i="8"/>
  <c r="G21" i="8" s="1"/>
  <c r="E21" i="8"/>
  <c r="E20" i="8"/>
  <c r="F20" i="8" s="1"/>
  <c r="G20" i="8" s="1"/>
  <c r="E19" i="8"/>
  <c r="F19" i="8" s="1"/>
  <c r="G19" i="8" s="1"/>
  <c r="E18" i="8"/>
  <c r="F18" i="8" s="1"/>
  <c r="G18" i="8" s="1"/>
  <c r="F17" i="8"/>
  <c r="G17" i="8" s="1"/>
  <c r="E17" i="8"/>
  <c r="E16" i="8"/>
  <c r="F16" i="8" s="1"/>
  <c r="G16" i="8" s="1"/>
  <c r="E15" i="8"/>
  <c r="F15" i="8" s="1"/>
  <c r="G15" i="8" s="1"/>
  <c r="E14" i="8"/>
  <c r="F14" i="8" s="1"/>
  <c r="G14" i="8" s="1"/>
  <c r="F13" i="8"/>
  <c r="G13" i="8" s="1"/>
  <c r="E13" i="8"/>
  <c r="E12" i="8"/>
  <c r="F12" i="8" s="1"/>
  <c r="G12" i="8" s="1"/>
  <c r="E11" i="8"/>
  <c r="F11" i="8" s="1"/>
  <c r="G11" i="8" s="1"/>
  <c r="F10" i="8"/>
  <c r="G10" i="8" s="1"/>
  <c r="E10" i="8"/>
  <c r="G9" i="8"/>
  <c r="E9" i="8"/>
  <c r="E8" i="8"/>
  <c r="F8" i="8" s="1"/>
  <c r="G8" i="8" s="1"/>
  <c r="E7" i="8"/>
  <c r="F7" i="8" s="1"/>
  <c r="G7" i="8" s="1"/>
  <c r="E6" i="8"/>
  <c r="F6" i="8" s="1"/>
  <c r="G6" i="8" s="1"/>
  <c r="G23" i="4"/>
  <c r="G22" i="4"/>
  <c r="K23" i="4" l="1"/>
  <c r="I23" i="4"/>
  <c r="J23" i="4"/>
  <c r="K6" i="4" l="1"/>
  <c r="K7" i="4"/>
  <c r="K8" i="4"/>
  <c r="K10" i="4"/>
  <c r="K12" i="4"/>
  <c r="K13" i="4"/>
  <c r="K15" i="4"/>
  <c r="K16" i="4"/>
  <c r="K17" i="4"/>
  <c r="K18" i="4"/>
  <c r="K19" i="4"/>
  <c r="K20" i="4"/>
  <c r="K21" i="4"/>
  <c r="K29" i="4"/>
  <c r="K33" i="4"/>
  <c r="K44" i="4"/>
  <c r="K5" i="4"/>
  <c r="J5" i="4"/>
  <c r="E11" i="7"/>
  <c r="E12" i="7"/>
  <c r="E13" i="7"/>
  <c r="E14" i="7"/>
  <c r="F14" i="7" s="1"/>
  <c r="G14" i="7" s="1"/>
  <c r="E15" i="7"/>
  <c r="E16" i="7"/>
  <c r="F16" i="7" s="1"/>
  <c r="G16" i="7" s="1"/>
  <c r="E17" i="7"/>
  <c r="E18" i="7"/>
  <c r="F18" i="7" s="1"/>
  <c r="G18" i="7" s="1"/>
  <c r="E19" i="7"/>
  <c r="E20" i="7"/>
  <c r="F20" i="7" s="1"/>
  <c r="G20" i="7" s="1"/>
  <c r="E21" i="7"/>
  <c r="E22" i="7"/>
  <c r="F22" i="7" s="1"/>
  <c r="G22" i="7" s="1"/>
  <c r="E23" i="7"/>
  <c r="E24" i="7"/>
  <c r="F24" i="7" s="1"/>
  <c r="G24" i="7" s="1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F41" i="7" s="1"/>
  <c r="G41" i="7" s="1"/>
  <c r="E42" i="7"/>
  <c r="E43" i="7"/>
  <c r="F43" i="7" s="1"/>
  <c r="G43" i="7" s="1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7" i="7"/>
  <c r="E8" i="7"/>
  <c r="E9" i="7"/>
  <c r="E10" i="7"/>
  <c r="E6" i="7"/>
  <c r="F56" i="7"/>
  <c r="F57" i="7"/>
  <c r="F58" i="7"/>
  <c r="F59" i="7"/>
  <c r="F60" i="7"/>
  <c r="F61" i="7"/>
  <c r="F62" i="7"/>
  <c r="F55" i="7"/>
  <c r="G55" i="7" s="1"/>
  <c r="F54" i="7"/>
  <c r="G54" i="7" s="1"/>
  <c r="F53" i="7"/>
  <c r="G53" i="7" s="1"/>
  <c r="F52" i="7"/>
  <c r="G52" i="7" s="1"/>
  <c r="I52" i="7" s="1"/>
  <c r="F51" i="7"/>
  <c r="G51" i="7" s="1"/>
  <c r="F50" i="7"/>
  <c r="G50" i="7" s="1"/>
  <c r="F49" i="7"/>
  <c r="G49" i="7" s="1"/>
  <c r="F48" i="7"/>
  <c r="G48" i="7" s="1"/>
  <c r="F47" i="7"/>
  <c r="G47" i="7" s="1"/>
  <c r="F46" i="7"/>
  <c r="G46" i="7" s="1"/>
  <c r="F45" i="7"/>
  <c r="G45" i="7" s="1"/>
  <c r="I67" i="7"/>
  <c r="I66" i="7"/>
  <c r="I65" i="7"/>
  <c r="I64" i="7"/>
  <c r="I63" i="7"/>
  <c r="H62" i="7"/>
  <c r="I62" i="7" s="1"/>
  <c r="I61" i="7"/>
  <c r="H59" i="7"/>
  <c r="I59" i="7" s="1"/>
  <c r="H57" i="7"/>
  <c r="I56" i="7"/>
  <c r="H55" i="7"/>
  <c r="H54" i="7"/>
  <c r="H53" i="7"/>
  <c r="H50" i="7"/>
  <c r="H48" i="7"/>
  <c r="H47" i="7"/>
  <c r="H46" i="7"/>
  <c r="H44" i="7"/>
  <c r="F44" i="7"/>
  <c r="G44" i="7" s="1"/>
  <c r="H43" i="7"/>
  <c r="F42" i="7"/>
  <c r="G42" i="7" s="1"/>
  <c r="H40" i="7"/>
  <c r="F40" i="7"/>
  <c r="G40" i="7" s="1"/>
  <c r="F39" i="7"/>
  <c r="G39" i="7" s="1"/>
  <c r="F38" i="7"/>
  <c r="G38" i="7" s="1"/>
  <c r="F37" i="7"/>
  <c r="G37" i="7" s="1"/>
  <c r="F36" i="7"/>
  <c r="G36" i="7" s="1"/>
  <c r="F35" i="7"/>
  <c r="G35" i="7" s="1"/>
  <c r="F34" i="7"/>
  <c r="G34" i="7" s="1"/>
  <c r="F33" i="7"/>
  <c r="G33" i="7" s="1"/>
  <c r="F32" i="7"/>
  <c r="G32" i="7" s="1"/>
  <c r="F31" i="7"/>
  <c r="G31" i="7" s="1"/>
  <c r="F30" i="7"/>
  <c r="G30" i="7" s="1"/>
  <c r="F29" i="7"/>
  <c r="G29" i="7" s="1"/>
  <c r="F28" i="7"/>
  <c r="G28" i="7" s="1"/>
  <c r="F27" i="7"/>
  <c r="G27" i="7" s="1"/>
  <c r="F26" i="7"/>
  <c r="G26" i="7" s="1"/>
  <c r="G25" i="7"/>
  <c r="F23" i="7"/>
  <c r="G23" i="7" s="1"/>
  <c r="F21" i="7"/>
  <c r="G21" i="7" s="1"/>
  <c r="F19" i="7"/>
  <c r="G19" i="7" s="1"/>
  <c r="F17" i="7"/>
  <c r="G17" i="7" s="1"/>
  <c r="F15" i="7"/>
  <c r="G15" i="7" s="1"/>
  <c r="F13" i="7"/>
  <c r="G13" i="7" s="1"/>
  <c r="F12" i="7"/>
  <c r="G12" i="7" s="1"/>
  <c r="F11" i="7"/>
  <c r="G11" i="7" s="1"/>
  <c r="F10" i="7"/>
  <c r="G10" i="7" s="1"/>
  <c r="G9" i="7"/>
  <c r="F8" i="7"/>
  <c r="G8" i="7" s="1"/>
  <c r="F7" i="7"/>
  <c r="G7" i="7" s="1"/>
  <c r="F6" i="7"/>
  <c r="G6" i="7" s="1"/>
  <c r="I6" i="7" s="1"/>
  <c r="H41" i="3"/>
  <c r="H44" i="3"/>
  <c r="H45" i="3"/>
  <c r="H46" i="3"/>
  <c r="H48" i="3"/>
  <c r="H50" i="3"/>
  <c r="H51" i="3"/>
  <c r="H52" i="3"/>
  <c r="H54" i="3"/>
  <c r="H57" i="3"/>
  <c r="H58" i="3"/>
  <c r="H59" i="3"/>
  <c r="H61" i="3"/>
  <c r="H63" i="3"/>
  <c r="H66" i="3"/>
  <c r="H67" i="3"/>
  <c r="G25" i="3"/>
  <c r="G9" i="3"/>
  <c r="G7" i="6"/>
  <c r="F3" i="6"/>
  <c r="E3" i="6"/>
  <c r="G5" i="6"/>
  <c r="G6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4" i="6"/>
  <c r="E15" i="3"/>
  <c r="F15" i="3" s="1"/>
  <c r="G15" i="3" s="1"/>
  <c r="E19" i="3"/>
  <c r="F19" i="3" s="1"/>
  <c r="G19" i="3" s="1"/>
  <c r="E21" i="3"/>
  <c r="F21" i="3" s="1"/>
  <c r="G21" i="3" s="1"/>
  <c r="I68" i="3"/>
  <c r="I69" i="3"/>
  <c r="I70" i="3"/>
  <c r="I71" i="3"/>
  <c r="I72" i="3"/>
  <c r="E7" i="3"/>
  <c r="F7" i="3" s="1"/>
  <c r="G7" i="3" s="1"/>
  <c r="E16" i="3"/>
  <c r="F16" i="3" s="1"/>
  <c r="G16" i="3" s="1"/>
  <c r="E17" i="3"/>
  <c r="F17" i="3" s="1"/>
  <c r="G17" i="3" s="1"/>
  <c r="E18" i="3"/>
  <c r="F18" i="3" s="1"/>
  <c r="G18" i="3" s="1"/>
  <c r="E5" i="4"/>
  <c r="I5" i="4"/>
  <c r="K51" i="4"/>
  <c r="K52" i="4"/>
  <c r="K53" i="4"/>
  <c r="K54" i="4"/>
  <c r="K55" i="4"/>
  <c r="K56" i="4"/>
  <c r="K57" i="4"/>
  <c r="K58" i="4"/>
  <c r="K59" i="4"/>
  <c r="K60" i="4"/>
  <c r="K50" i="4"/>
  <c r="E24" i="4"/>
  <c r="E6" i="4"/>
  <c r="G6" i="4"/>
  <c r="G26" i="4" s="1"/>
  <c r="I6" i="4"/>
  <c r="J6" i="4"/>
  <c r="E7" i="4"/>
  <c r="G7" i="4" s="1"/>
  <c r="H7" i="4"/>
  <c r="J7" i="4"/>
  <c r="E8" i="4"/>
  <c r="G8" i="4"/>
  <c r="I8" i="4"/>
  <c r="J8" i="4"/>
  <c r="E9" i="4"/>
  <c r="G9" i="4" s="1"/>
  <c r="J9" i="4"/>
  <c r="E10" i="4"/>
  <c r="G10" i="4"/>
  <c r="I10" i="4"/>
  <c r="J10" i="4"/>
  <c r="E11" i="4"/>
  <c r="G11" i="4" s="1"/>
  <c r="E12" i="4"/>
  <c r="G12" i="4"/>
  <c r="I12" i="4"/>
  <c r="J12" i="4"/>
  <c r="E13" i="4"/>
  <c r="G13" i="4" s="1"/>
  <c r="J13" i="4"/>
  <c r="E14" i="4"/>
  <c r="E15" i="4"/>
  <c r="G15" i="4" s="1"/>
  <c r="J15" i="4"/>
  <c r="E16" i="4"/>
  <c r="G16" i="4"/>
  <c r="I16" i="4"/>
  <c r="J16" i="4"/>
  <c r="E17" i="4"/>
  <c r="G17" i="4" s="1"/>
  <c r="J17" i="4"/>
  <c r="E18" i="4"/>
  <c r="G18" i="4"/>
  <c r="I18" i="4"/>
  <c r="J18" i="4"/>
  <c r="E19" i="4"/>
  <c r="G19" i="4" s="1"/>
  <c r="J19" i="4"/>
  <c r="E20" i="4"/>
  <c r="G20" i="4"/>
  <c r="H20" i="4"/>
  <c r="I20" i="4"/>
  <c r="J20" i="4"/>
  <c r="G21" i="4"/>
  <c r="H21" i="4"/>
  <c r="I21" i="4"/>
  <c r="J21" i="4"/>
  <c r="E22" i="4"/>
  <c r="J22" i="4"/>
  <c r="G24" i="4"/>
  <c r="E25" i="4"/>
  <c r="G25" i="4" s="1"/>
  <c r="J25" i="4"/>
  <c r="E27" i="4"/>
  <c r="J27" i="4"/>
  <c r="E28" i="4"/>
  <c r="G28" i="4" s="1"/>
  <c r="J28" i="4"/>
  <c r="E29" i="4"/>
  <c r="G29" i="4"/>
  <c r="H29" i="4"/>
  <c r="I29" i="4"/>
  <c r="J29" i="4"/>
  <c r="E30" i="4"/>
  <c r="G30" i="4" s="1"/>
  <c r="E31" i="4"/>
  <c r="E32" i="4"/>
  <c r="G32" i="4" s="1"/>
  <c r="E33" i="4"/>
  <c r="G33" i="4"/>
  <c r="H33" i="4"/>
  <c r="I33" i="4"/>
  <c r="J33" i="4"/>
  <c r="E34" i="4"/>
  <c r="G34" i="4" s="1"/>
  <c r="J34" i="4"/>
  <c r="E35" i="4"/>
  <c r="H35" i="4"/>
  <c r="I35" i="4"/>
  <c r="J35" i="4"/>
  <c r="E36" i="4"/>
  <c r="G36" i="4" s="1"/>
  <c r="E37" i="4"/>
  <c r="H37" i="4"/>
  <c r="J37" i="4"/>
  <c r="E38" i="4"/>
  <c r="G38" i="4" s="1"/>
  <c r="H38" i="4"/>
  <c r="J38" i="4"/>
  <c r="E39" i="4"/>
  <c r="G39" i="4" s="1"/>
  <c r="J39" i="4"/>
  <c r="E40" i="4"/>
  <c r="H40" i="4" s="1"/>
  <c r="E41" i="4"/>
  <c r="E42" i="4"/>
  <c r="H42" i="4" s="1"/>
  <c r="E43" i="4"/>
  <c r="G44" i="4"/>
  <c r="H44" i="4"/>
  <c r="I44" i="4"/>
  <c r="J44" i="4"/>
  <c r="E45" i="4"/>
  <c r="G45" i="4" s="1"/>
  <c r="E46" i="4"/>
  <c r="G46" i="4" s="1"/>
  <c r="J46" i="4"/>
  <c r="G5" i="4"/>
  <c r="E47" i="3"/>
  <c r="F47" i="3"/>
  <c r="G47" i="3" s="1"/>
  <c r="E46" i="3"/>
  <c r="F46" i="3"/>
  <c r="G46" i="3" s="1"/>
  <c r="E45" i="3"/>
  <c r="F45" i="3"/>
  <c r="G45" i="3" s="1"/>
  <c r="E44" i="3"/>
  <c r="F44" i="3"/>
  <c r="G44" i="3" s="1"/>
  <c r="E43" i="3"/>
  <c r="F43" i="3"/>
  <c r="G43" i="3" s="1"/>
  <c r="E42" i="3"/>
  <c r="F42" i="3"/>
  <c r="G42" i="3" s="1"/>
  <c r="E41" i="3"/>
  <c r="F41" i="3"/>
  <c r="G41" i="3" s="1"/>
  <c r="E40" i="3"/>
  <c r="F40" i="3"/>
  <c r="G40" i="3" s="1"/>
  <c r="E39" i="3"/>
  <c r="F39" i="3"/>
  <c r="G39" i="3" s="1"/>
  <c r="E38" i="3"/>
  <c r="F38" i="3"/>
  <c r="G38" i="3" s="1"/>
  <c r="E37" i="3"/>
  <c r="F37" i="3"/>
  <c r="G37" i="3" s="1"/>
  <c r="E36" i="3"/>
  <c r="F36" i="3"/>
  <c r="G36" i="3" s="1"/>
  <c r="E35" i="3"/>
  <c r="F35" i="3"/>
  <c r="G35" i="3" s="1"/>
  <c r="E34" i="3"/>
  <c r="F34" i="3"/>
  <c r="G34" i="3" s="1"/>
  <c r="E33" i="3"/>
  <c r="F33" i="3"/>
  <c r="G33" i="3" s="1"/>
  <c r="E32" i="3"/>
  <c r="F32" i="3"/>
  <c r="G32" i="3" s="1"/>
  <c r="E31" i="3"/>
  <c r="F31" i="3"/>
  <c r="G31" i="3" s="1"/>
  <c r="E30" i="3"/>
  <c r="F30" i="3"/>
  <c r="G30" i="3" s="1"/>
  <c r="E29" i="3"/>
  <c r="F29" i="3"/>
  <c r="G29" i="3" s="1"/>
  <c r="E28" i="3"/>
  <c r="F28" i="3"/>
  <c r="G28" i="3" s="1"/>
  <c r="E27" i="3"/>
  <c r="F27" i="3"/>
  <c r="G27" i="3" s="1"/>
  <c r="E26" i="3"/>
  <c r="F26" i="3"/>
  <c r="G26" i="3" s="1"/>
  <c r="E24" i="3"/>
  <c r="F24" i="3"/>
  <c r="G24" i="3" s="1"/>
  <c r="E23" i="3"/>
  <c r="F23" i="3"/>
  <c r="G23" i="3" s="1"/>
  <c r="E22" i="3"/>
  <c r="F22" i="3"/>
  <c r="G22" i="3" s="1"/>
  <c r="E20" i="3"/>
  <c r="F20" i="3"/>
  <c r="G20" i="3" s="1"/>
  <c r="E14" i="3"/>
  <c r="F14" i="3"/>
  <c r="G14" i="3" s="1"/>
  <c r="E13" i="3"/>
  <c r="F13" i="3"/>
  <c r="G13" i="3" s="1"/>
  <c r="E12" i="3"/>
  <c r="F12" i="3"/>
  <c r="G12" i="3" s="1"/>
  <c r="E11" i="3"/>
  <c r="F11" i="3"/>
  <c r="G11" i="3" s="1"/>
  <c r="E10" i="3"/>
  <c r="F10" i="3"/>
  <c r="G10" i="3" s="1"/>
  <c r="E9" i="3"/>
  <c r="E8" i="3"/>
  <c r="F8" i="3" s="1"/>
  <c r="G8" i="3" s="1"/>
  <c r="E6" i="3"/>
  <c r="F6" i="3" s="1"/>
  <c r="G6" i="3" s="1"/>
  <c r="H27" i="4" l="1"/>
  <c r="K46" i="4"/>
  <c r="K39" i="4"/>
  <c r="K25" i="4"/>
  <c r="H46" i="4"/>
  <c r="H39" i="4"/>
  <c r="J32" i="4"/>
  <c r="I46" i="4"/>
  <c r="J45" i="4"/>
  <c r="J43" i="4"/>
  <c r="I39" i="4"/>
  <c r="I37" i="4"/>
  <c r="G37" i="4"/>
  <c r="H34" i="4"/>
  <c r="H32" i="4"/>
  <c r="I27" i="4"/>
  <c r="G27" i="4"/>
  <c r="I25" i="4"/>
  <c r="K38" i="4"/>
  <c r="K32" i="4"/>
  <c r="K27" i="4"/>
  <c r="H45" i="4"/>
  <c r="K45" i="4"/>
  <c r="H43" i="4"/>
  <c r="I43" i="4"/>
  <c r="G43" i="4"/>
  <c r="K43" i="4"/>
  <c r="J42" i="4"/>
  <c r="K42" i="4"/>
  <c r="J41" i="4"/>
  <c r="H41" i="4"/>
  <c r="I41" i="4"/>
  <c r="G41" i="4"/>
  <c r="K41" i="4"/>
  <c r="J40" i="4"/>
  <c r="K40" i="4"/>
  <c r="K37" i="4"/>
  <c r="J36" i="4"/>
  <c r="H36" i="4"/>
  <c r="K36" i="4"/>
  <c r="G35" i="4"/>
  <c r="K35" i="4"/>
  <c r="K34" i="4"/>
  <c r="J31" i="4"/>
  <c r="H31" i="4"/>
  <c r="I31" i="4"/>
  <c r="G31" i="4"/>
  <c r="K31" i="4"/>
  <c r="J30" i="4"/>
  <c r="H30" i="4"/>
  <c r="K30" i="4"/>
  <c r="H28" i="4"/>
  <c r="K28" i="4"/>
  <c r="J26" i="4"/>
  <c r="H26" i="4"/>
  <c r="K26" i="4"/>
  <c r="I24" i="4"/>
  <c r="J24" i="4"/>
  <c r="K24" i="4"/>
  <c r="K22" i="4"/>
  <c r="J14" i="4"/>
  <c r="I14" i="4"/>
  <c r="G14" i="4"/>
  <c r="K14" i="4"/>
  <c r="J11" i="4"/>
  <c r="K11" i="4"/>
  <c r="K9" i="4"/>
  <c r="I50" i="7"/>
  <c r="I45" i="4"/>
  <c r="G42" i="4"/>
  <c r="I42" i="4"/>
  <c r="G40" i="4"/>
  <c r="I40" i="4"/>
  <c r="I38" i="4"/>
  <c r="I36" i="4"/>
  <c r="I34" i="4"/>
  <c r="I32" i="4"/>
  <c r="I30" i="4"/>
  <c r="I28" i="4"/>
  <c r="I26" i="4"/>
  <c r="I22" i="4"/>
  <c r="I19" i="4"/>
  <c r="I17" i="4"/>
  <c r="I15" i="4"/>
  <c r="I13" i="4"/>
  <c r="I11" i="4"/>
  <c r="I9" i="4"/>
  <c r="I7" i="4"/>
  <c r="E5" i="6"/>
  <c r="E7" i="6"/>
  <c r="E9" i="6"/>
  <c r="E11" i="6"/>
  <c r="E13" i="6"/>
  <c r="E15" i="6"/>
  <c r="E17" i="6"/>
  <c r="E19" i="6"/>
  <c r="E21" i="6"/>
  <c r="E4" i="6"/>
  <c r="E6" i="6"/>
  <c r="E8" i="6"/>
  <c r="E10" i="6"/>
  <c r="E12" i="6"/>
  <c r="E14" i="6"/>
  <c r="E16" i="6"/>
  <c r="E18" i="6"/>
  <c r="E20" i="6"/>
  <c r="E22" i="6"/>
  <c r="F5" i="6"/>
  <c r="F8" i="6"/>
  <c r="F10" i="6"/>
  <c r="F12" i="6"/>
  <c r="F14" i="6"/>
  <c r="F16" i="6"/>
  <c r="F18" i="6"/>
  <c r="F20" i="6"/>
  <c r="F22" i="6"/>
  <c r="F4" i="6"/>
  <c r="F7" i="6"/>
  <c r="F6" i="6"/>
  <c r="F9" i="6"/>
  <c r="F11" i="6"/>
  <c r="F13" i="6"/>
  <c r="F15" i="6"/>
  <c r="F17" i="6"/>
  <c r="F19" i="6"/>
  <c r="F21" i="6"/>
</calcChain>
</file>

<file path=xl/sharedStrings.xml><?xml version="1.0" encoding="utf-8"?>
<sst xmlns="http://schemas.openxmlformats.org/spreadsheetml/2006/main" count="921" uniqueCount="209">
  <si>
    <t>Harina Cruda</t>
  </si>
  <si>
    <t>Azucar</t>
  </si>
  <si>
    <t>Arroz G-1</t>
  </si>
  <si>
    <t>Arroz G2</t>
  </si>
  <si>
    <t>Chuchoca</t>
  </si>
  <si>
    <t>Porotos</t>
  </si>
  <si>
    <t>Lentejas</t>
  </si>
  <si>
    <t>º</t>
  </si>
  <si>
    <t>Sal</t>
  </si>
  <si>
    <t>Aceite</t>
  </si>
  <si>
    <t>Fideos Cabellos</t>
  </si>
  <si>
    <t>Fideos Corbatitas</t>
  </si>
  <si>
    <t>Fideos Canutones</t>
  </si>
  <si>
    <t>Fideos Espirales</t>
  </si>
  <si>
    <t>Fideos Tallarines</t>
  </si>
  <si>
    <t>Fideos Tallarines Agre.</t>
  </si>
  <si>
    <t>Salsa Tomates</t>
  </si>
  <si>
    <t>Café</t>
  </si>
  <si>
    <t>Te</t>
  </si>
  <si>
    <t>Chocolate</t>
  </si>
  <si>
    <t>Leche</t>
  </si>
  <si>
    <t>Vinagre</t>
  </si>
  <si>
    <t>Mermelada Frutilla</t>
  </si>
  <si>
    <t>Mermelada Durasno</t>
  </si>
  <si>
    <t>Mermelada Mora</t>
  </si>
  <si>
    <t>MermeladaDamasco</t>
  </si>
  <si>
    <t>Margarina 500 Grs</t>
  </si>
  <si>
    <t>Margarina 1000 Grs</t>
  </si>
  <si>
    <t>Margarina 250 Grs</t>
  </si>
  <si>
    <t>Manteca Pan</t>
  </si>
  <si>
    <t>Jurel</t>
  </si>
  <si>
    <t>Caldos Concentrados</t>
  </si>
  <si>
    <t>Cominos</t>
  </si>
  <si>
    <t>Pimenton</t>
  </si>
  <si>
    <t>Oregano</t>
  </si>
  <si>
    <t>Sopas En Sobre</t>
  </si>
  <si>
    <t>Jugos En Sobre</t>
  </si>
  <si>
    <t>Mortadela</t>
  </si>
  <si>
    <t>Pate</t>
  </si>
  <si>
    <t>Jamon</t>
  </si>
  <si>
    <t>Cazuela Vacuno</t>
  </si>
  <si>
    <t>Posta  (Carbonada)</t>
  </si>
  <si>
    <t>Carne Molida (Acompañamiento)</t>
  </si>
  <si>
    <t>Longanizas</t>
  </si>
  <si>
    <t>Zanahoria</t>
  </si>
  <si>
    <t>Zapallo</t>
  </si>
  <si>
    <t>Cebollas</t>
  </si>
  <si>
    <t>Acelgas</t>
  </si>
  <si>
    <t>Papas Pure</t>
  </si>
  <si>
    <t>Papas Acompañamiento</t>
  </si>
  <si>
    <t>Morron</t>
  </si>
  <si>
    <t>Cilantro</t>
  </si>
  <si>
    <t>Perejil</t>
  </si>
  <si>
    <t>Surtidos</t>
  </si>
  <si>
    <t>Beterraga</t>
  </si>
  <si>
    <t>Coliflor</t>
  </si>
  <si>
    <t>Lechugas</t>
  </si>
  <si>
    <t>Repollo</t>
  </si>
  <si>
    <t>Tomate</t>
  </si>
  <si>
    <t>Manzana</t>
  </si>
  <si>
    <t>Naranjas</t>
  </si>
  <si>
    <t>Platanos</t>
  </si>
  <si>
    <t>Durasno</t>
  </si>
  <si>
    <t>Peras</t>
  </si>
  <si>
    <t>Huevos</t>
  </si>
  <si>
    <t>Queso</t>
  </si>
  <si>
    <t>Trutos de Pollo</t>
  </si>
  <si>
    <t>Osobuco De Pavo</t>
  </si>
  <si>
    <t>Osobuco Vacuno</t>
  </si>
  <si>
    <t>CARNES Y CECINAS</t>
  </si>
  <si>
    <t>FRUTAS Y VERDURAS</t>
  </si>
  <si>
    <t>COMPRAS ABARROTES  E INSUMOS ALIMENTACION SEMANALES</t>
  </si>
  <si>
    <t>Grs</t>
  </si>
  <si>
    <t>Locro</t>
  </si>
  <si>
    <t>Levadura (X kilo Harina</t>
  </si>
  <si>
    <t>Mayonesa</t>
  </si>
  <si>
    <t>Trigo Mote</t>
  </si>
  <si>
    <t>Stock</t>
  </si>
  <si>
    <t>Fideos Caracoles</t>
  </si>
  <si>
    <t>UTILES DE ASEO</t>
  </si>
  <si>
    <t>Omo</t>
  </si>
  <si>
    <t>Mago-pads</t>
  </si>
  <si>
    <t>Limpia vidio</t>
  </si>
  <si>
    <t>Lava-Loza</t>
  </si>
  <si>
    <t>Virutilla Olla G.</t>
  </si>
  <si>
    <t>Virutilla Piso</t>
  </si>
  <si>
    <t>Cera</t>
  </si>
  <si>
    <t>Paño de Aseo</t>
  </si>
  <si>
    <t>Persona</t>
  </si>
  <si>
    <t>Jugo Limon</t>
  </si>
  <si>
    <t>Lts</t>
  </si>
  <si>
    <t>Kgs</t>
  </si>
  <si>
    <t>Escobillones</t>
  </si>
  <si>
    <t>Desodorante Baño</t>
  </si>
  <si>
    <t>Cloro</t>
  </si>
  <si>
    <t>mensual</t>
  </si>
  <si>
    <t>cc</t>
  </si>
  <si>
    <t>litro</t>
  </si>
  <si>
    <t>kilos</t>
  </si>
  <si>
    <t>Total</t>
  </si>
  <si>
    <t>Calugas</t>
  </si>
  <si>
    <t>Cc</t>
  </si>
  <si>
    <t>Sb</t>
  </si>
  <si>
    <t>Bs</t>
  </si>
  <si>
    <t>Tarr0s</t>
  </si>
  <si>
    <t>Osobuco Pavo</t>
  </si>
  <si>
    <t>Pollo (Tutos)</t>
  </si>
  <si>
    <t>Carbonada(Posta)</t>
  </si>
  <si>
    <t>Cazuela Vacuno (Costilla-As.Tira)</t>
  </si>
  <si>
    <t>Carne Mechada(Pollo Ganso-Picanilla)</t>
  </si>
  <si>
    <t>Ajiaco(Posta-u,Otra)</t>
  </si>
  <si>
    <t>Asado Vacuno</t>
  </si>
  <si>
    <t>Longaniza</t>
  </si>
  <si>
    <t>Vienesa</t>
  </si>
  <si>
    <t>Pulpa Cerdo</t>
  </si>
  <si>
    <t>Café Coronado</t>
  </si>
  <si>
    <t>Café Dolca</t>
  </si>
  <si>
    <t>Jugos Kgs</t>
  </si>
  <si>
    <t>Sbs</t>
  </si>
  <si>
    <t>Jugo Limon Lt</t>
  </si>
  <si>
    <t>Jugo Limon 1/2 Lt</t>
  </si>
  <si>
    <t>Pqt</t>
  </si>
  <si>
    <t>Vinagre 1/2</t>
  </si>
  <si>
    <t xml:space="preserve">Atun </t>
  </si>
  <si>
    <t>Dulce Menbrillo</t>
  </si>
  <si>
    <t>Manjar 1/2</t>
  </si>
  <si>
    <t>Manjar k</t>
  </si>
  <si>
    <t>Queso Laminado</t>
  </si>
  <si>
    <t>Aliño Completo</t>
  </si>
  <si>
    <t>Fideos Rigatoni</t>
  </si>
  <si>
    <t>Durasno Tarro</t>
  </si>
  <si>
    <t>Flan 1k</t>
  </si>
  <si>
    <t>Gelatina Polvo k</t>
  </si>
  <si>
    <t>Jugo Parmalat</t>
  </si>
  <si>
    <t>Jugos P 200 cc</t>
  </si>
  <si>
    <t>Caj</t>
  </si>
  <si>
    <t>Sopa k</t>
  </si>
  <si>
    <t>Semola 1/2</t>
  </si>
  <si>
    <t>Pure Concentrado</t>
  </si>
  <si>
    <t>Surtido Marisco</t>
  </si>
  <si>
    <t>Cera Lata 18k</t>
  </si>
  <si>
    <t>Lava-Loza Quik</t>
  </si>
  <si>
    <t>Bot</t>
  </si>
  <si>
    <t>V</t>
  </si>
  <si>
    <t>Lisol para Piso</t>
  </si>
  <si>
    <t>Confort</t>
  </si>
  <si>
    <t>Roll</t>
  </si>
  <si>
    <t>Casa Jardin Raid</t>
  </si>
  <si>
    <t>Toballa Nova</t>
  </si>
  <si>
    <t>Servilleta</t>
  </si>
  <si>
    <t>Trapero</t>
  </si>
  <si>
    <t>Paño Limpieza Mesa</t>
  </si>
  <si>
    <t>Lustra Mueble</t>
  </si>
  <si>
    <t>Fosforo</t>
  </si>
  <si>
    <t>Un</t>
  </si>
  <si>
    <t>Bolsa Colacio 30*40</t>
  </si>
  <si>
    <t>Bolsa Basura Gde</t>
  </si>
  <si>
    <t>Bolsa Basura Mediana</t>
  </si>
  <si>
    <t>Semana</t>
  </si>
  <si>
    <t>L.Pozas</t>
  </si>
  <si>
    <t>Atun 184</t>
  </si>
  <si>
    <t>Cloro 2 lts</t>
  </si>
  <si>
    <t>Nes</t>
  </si>
  <si>
    <t>Compra</t>
  </si>
  <si>
    <t>Sopas Kilo</t>
  </si>
  <si>
    <t>Surtido Caldillo</t>
  </si>
  <si>
    <t>Atun</t>
  </si>
  <si>
    <t>Manjar</t>
  </si>
  <si>
    <t>Dulce Membrillo</t>
  </si>
  <si>
    <t>Queso Crema</t>
  </si>
  <si>
    <t>tarro</t>
  </si>
  <si>
    <t>Guante Cocina</t>
  </si>
  <si>
    <t>Mascarilla Des.</t>
  </si>
  <si>
    <t>Esponja para olla</t>
  </si>
  <si>
    <t>Veces</t>
  </si>
  <si>
    <t>Ls Pozas</t>
  </si>
  <si>
    <t>Entrega faena</t>
  </si>
  <si>
    <t>Lautaro</t>
  </si>
  <si>
    <t>Ala Pavo</t>
  </si>
  <si>
    <t>Chuleta Cerdo</t>
  </si>
  <si>
    <t>Café Ecco</t>
  </si>
  <si>
    <t>Esp Verde Amarillo</t>
  </si>
  <si>
    <t>Concentrado Tomate 1K</t>
  </si>
  <si>
    <t>c.c</t>
  </si>
  <si>
    <t>grs</t>
  </si>
  <si>
    <t>por/tr</t>
  </si>
  <si>
    <t>por/lt</t>
  </si>
  <si>
    <t>c/u</t>
  </si>
  <si>
    <t>por/k</t>
  </si>
  <si>
    <t>un</t>
  </si>
  <si>
    <t>1/30per</t>
  </si>
  <si>
    <t>Por</t>
  </si>
  <si>
    <t>c.u</t>
  </si>
  <si>
    <t>Cantidad Persona</t>
  </si>
  <si>
    <t>Grs/C.c</t>
  </si>
  <si>
    <t>Kg/Lt</t>
  </si>
  <si>
    <t>U.M</t>
  </si>
  <si>
    <t>La Suerte</t>
  </si>
  <si>
    <t>El Sauce</t>
  </si>
  <si>
    <t>El Maiten</t>
  </si>
  <si>
    <t>Tralpene</t>
  </si>
  <si>
    <t>Lomas</t>
  </si>
  <si>
    <t>L.Suerte</t>
  </si>
  <si>
    <t>Fideos Caracolitos</t>
  </si>
  <si>
    <t>Jujo 200c.c.</t>
  </si>
  <si>
    <t>c.c.</t>
  </si>
  <si>
    <t>Aji-Pimenton</t>
  </si>
  <si>
    <t>184 grs</t>
  </si>
  <si>
    <t>x 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</si>
</sst>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-* #,##0.00_-;\-* #,##0.00_-;_-* &quot;-&quot;??_-;_-@_-"/>
    <numFmt numFmtId="164" formatCode="_-* #,##0.0_-;\-* #,##0.0_-;_-* &quot;-&quot;??_-;_-@_-"/>
    <numFmt numFmtId="165" formatCode="_-* #,##0.0_-;\-* #,##0.0_-;_-* &quot;-&quot;?_-;_-@_-"/>
    <numFmt numFmtId="166" formatCode="_-* #,##0.000_-;\-* #,##0.000_-;_-* &quot;-&quot;??_-;_-@_-"/>
    <numFmt numFmtId="167" formatCode="_-* #,##0_-;\-* #,##0_-;_-* &quot;-&quot;??_-;_-@_-"/>
  </numFmts>
  <fonts count="5" x14ac:knownFonts="1">
    <font>
      <sz val="10"/>
      <name val="Arial"/>
    </font>
    <font>
      <sz val="10"/>
      <name val="Arial"/>
    </font>
    <font>
      <sz val="8"/>
      <name val="Arial"/>
    </font>
    <font>
      <b/>
      <sz val="10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7">
    <xf numFmtId="0" fontId="0" fillId="0" borderId="0" xfId="0"/>
    <xf numFmtId="0" fontId="4" fillId="0" borderId="0" xfId="0" applyFont="1"/>
    <xf numFmtId="0" fontId="4" fillId="0" borderId="1" xfId="0" applyFont="1" applyBorder="1" applyAlignment="1">
      <alignment horizontal="center"/>
    </xf>
    <xf numFmtId="0" fontId="3" fillId="0" borderId="0" xfId="0" applyFont="1"/>
    <xf numFmtId="0" fontId="3" fillId="0" borderId="2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43" fontId="0" fillId="0" borderId="0" xfId="1" applyFont="1"/>
    <xf numFmtId="16" fontId="0" fillId="0" borderId="0" xfId="0" applyNumberFormat="1"/>
    <xf numFmtId="14" fontId="0" fillId="0" borderId="0" xfId="0" applyNumberFormat="1"/>
    <xf numFmtId="0" fontId="4" fillId="0" borderId="0" xfId="0" applyFont="1" applyFill="1" applyBorder="1"/>
    <xf numFmtId="164" fontId="0" fillId="0" borderId="0" xfId="1" applyNumberFormat="1" applyFont="1"/>
    <xf numFmtId="0" fontId="0" fillId="2" borderId="0" xfId="0" applyFill="1"/>
    <xf numFmtId="0" fontId="0" fillId="0" borderId="0" xfId="0" applyAlignment="1">
      <alignment horizontal="center"/>
    </xf>
    <xf numFmtId="0" fontId="3" fillId="0" borderId="0" xfId="0" applyFont="1" applyBorder="1" applyAlignment="1">
      <alignment horizontal="center"/>
    </xf>
    <xf numFmtId="165" fontId="3" fillId="0" borderId="0" xfId="0" applyNumberFormat="1" applyFont="1"/>
    <xf numFmtId="9" fontId="3" fillId="0" borderId="0" xfId="0" applyNumberFormat="1" applyFont="1"/>
    <xf numFmtId="164" fontId="3" fillId="0" borderId="0" xfId="1" applyNumberFormat="1" applyFont="1"/>
    <xf numFmtId="166" fontId="0" fillId="0" borderId="0" xfId="1" applyNumberFormat="1" applyFont="1"/>
    <xf numFmtId="166" fontId="0" fillId="0" borderId="0" xfId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43" fontId="3" fillId="0" borderId="0" xfId="1" applyNumberFormat="1" applyFont="1"/>
    <xf numFmtId="167" fontId="3" fillId="0" borderId="0" xfId="1" applyNumberFormat="1" applyFont="1"/>
    <xf numFmtId="164" fontId="0" fillId="0" borderId="0" xfId="1" applyNumberFormat="1" applyFont="1" applyAlignment="1">
      <alignment horizontal="center"/>
    </xf>
    <xf numFmtId="167" fontId="0" fillId="0" borderId="0" xfId="1" applyNumberFormat="1" applyFont="1"/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2">
    <cellStyle name="Millares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K34"/>
  <sheetViews>
    <sheetView workbookViewId="0">
      <selection activeCell="J2" sqref="J2"/>
    </sheetView>
  </sheetViews>
  <sheetFormatPr baseColWidth="10" defaultRowHeight="12.75" x14ac:dyDescent="0.2"/>
  <cols>
    <col min="1" max="1" width="5.7109375" customWidth="1"/>
    <col min="2" max="2" width="32.7109375" customWidth="1"/>
    <col min="3" max="3" width="9.7109375" customWidth="1"/>
    <col min="4" max="4" width="9.140625" customWidth="1"/>
  </cols>
  <sheetData>
    <row r="1" spans="2:11" x14ac:dyDescent="0.2">
      <c r="C1" s="3" t="s">
        <v>174</v>
      </c>
      <c r="D1" s="3" t="s">
        <v>99</v>
      </c>
      <c r="E1" s="25" t="s">
        <v>176</v>
      </c>
      <c r="F1" s="25"/>
      <c r="G1" s="25"/>
    </row>
    <row r="2" spans="2:11" x14ac:dyDescent="0.2">
      <c r="C2" s="3" t="s">
        <v>158</v>
      </c>
      <c r="D2" s="3" t="s">
        <v>158</v>
      </c>
      <c r="E2" s="3" t="s">
        <v>177</v>
      </c>
      <c r="F2" s="3" t="s">
        <v>175</v>
      </c>
      <c r="G2" s="3" t="s">
        <v>197</v>
      </c>
      <c r="H2" s="3" t="s">
        <v>199</v>
      </c>
      <c r="I2" s="3" t="s">
        <v>198</v>
      </c>
      <c r="J2" s="3" t="s">
        <v>200</v>
      </c>
      <c r="K2" s="3" t="s">
        <v>201</v>
      </c>
    </row>
    <row r="3" spans="2:11" x14ac:dyDescent="0.2">
      <c r="E3" s="3">
        <f>E28</f>
        <v>0</v>
      </c>
      <c r="F3" s="3">
        <f>F34</f>
        <v>0</v>
      </c>
      <c r="G3">
        <v>0</v>
      </c>
    </row>
    <row r="4" spans="2:11" x14ac:dyDescent="0.2">
      <c r="B4" s="1" t="s">
        <v>110</v>
      </c>
      <c r="C4" s="1">
        <v>50</v>
      </c>
      <c r="D4">
        <v>0</v>
      </c>
      <c r="E4">
        <f>((C4*D4)*E$3)/1000</f>
        <v>0</v>
      </c>
      <c r="F4" s="10">
        <f>((C4*D4)*F$3)/1000</f>
        <v>0</v>
      </c>
      <c r="G4" s="10">
        <f>((C4*D4)*G$3)/1000</f>
        <v>0</v>
      </c>
    </row>
    <row r="5" spans="2:11" x14ac:dyDescent="0.2">
      <c r="B5" s="1" t="s">
        <v>111</v>
      </c>
      <c r="C5" s="1">
        <v>120</v>
      </c>
      <c r="D5">
        <v>0</v>
      </c>
      <c r="E5">
        <f t="shared" ref="E5:E22" si="0">((C5*D5)*E$3)/1000</f>
        <v>0</v>
      </c>
      <c r="F5" s="10">
        <f t="shared" ref="F5:F22" si="1">((C5*D5)*F$3)/1000</f>
        <v>0</v>
      </c>
      <c r="G5" s="10">
        <f t="shared" ref="G5:G22" si="2">((C5*D5)*G$3)/1000</f>
        <v>0</v>
      </c>
    </row>
    <row r="6" spans="2:11" x14ac:dyDescent="0.2">
      <c r="B6" s="1" t="s">
        <v>107</v>
      </c>
      <c r="C6" s="1">
        <v>35</v>
      </c>
      <c r="D6">
        <v>1</v>
      </c>
      <c r="E6">
        <f t="shared" si="0"/>
        <v>0</v>
      </c>
      <c r="F6" s="10">
        <f t="shared" si="1"/>
        <v>0</v>
      </c>
      <c r="G6" s="10">
        <f t="shared" si="2"/>
        <v>0</v>
      </c>
      <c r="H6" s="10"/>
    </row>
    <row r="7" spans="2:11" x14ac:dyDescent="0.2">
      <c r="B7" s="1" t="s">
        <v>109</v>
      </c>
      <c r="C7" s="1">
        <v>100</v>
      </c>
      <c r="D7">
        <v>1</v>
      </c>
      <c r="E7">
        <f t="shared" si="0"/>
        <v>0</v>
      </c>
      <c r="F7" s="10">
        <f t="shared" si="1"/>
        <v>0</v>
      </c>
      <c r="G7" s="10">
        <f t="shared" si="2"/>
        <v>0</v>
      </c>
      <c r="H7" s="10"/>
    </row>
    <row r="8" spans="2:11" x14ac:dyDescent="0.2">
      <c r="B8" s="1" t="s">
        <v>42</v>
      </c>
      <c r="C8" s="1">
        <v>30</v>
      </c>
      <c r="D8">
        <v>1</v>
      </c>
      <c r="E8">
        <f t="shared" si="0"/>
        <v>0</v>
      </c>
      <c r="F8" s="10">
        <f t="shared" si="1"/>
        <v>0</v>
      </c>
      <c r="G8" s="10">
        <f t="shared" si="2"/>
        <v>0</v>
      </c>
      <c r="H8" s="10"/>
    </row>
    <row r="9" spans="2:11" x14ac:dyDescent="0.2">
      <c r="B9" s="1" t="s">
        <v>108</v>
      </c>
      <c r="C9" s="9">
        <v>180</v>
      </c>
      <c r="D9">
        <v>1</v>
      </c>
      <c r="E9">
        <f t="shared" si="0"/>
        <v>0</v>
      </c>
      <c r="F9" s="10">
        <f t="shared" si="1"/>
        <v>0</v>
      </c>
      <c r="G9" s="10">
        <f t="shared" si="2"/>
        <v>0</v>
      </c>
      <c r="H9" s="10"/>
    </row>
    <row r="10" spans="2:11" x14ac:dyDescent="0.2">
      <c r="B10" s="1" t="s">
        <v>179</v>
      </c>
      <c r="C10" s="9">
        <v>120</v>
      </c>
      <c r="D10">
        <v>1</v>
      </c>
      <c r="E10">
        <f t="shared" si="0"/>
        <v>0</v>
      </c>
      <c r="F10" s="10">
        <f t="shared" si="1"/>
        <v>0</v>
      </c>
      <c r="G10" s="10">
        <f t="shared" si="2"/>
        <v>0</v>
      </c>
      <c r="H10" s="10"/>
    </row>
    <row r="11" spans="2:11" x14ac:dyDescent="0.2">
      <c r="B11" s="1" t="s">
        <v>39</v>
      </c>
      <c r="C11" s="1">
        <v>25</v>
      </c>
      <c r="E11">
        <f t="shared" si="0"/>
        <v>0</v>
      </c>
      <c r="F11" s="10">
        <f t="shared" si="1"/>
        <v>0</v>
      </c>
      <c r="G11" s="10">
        <f t="shared" si="2"/>
        <v>0</v>
      </c>
      <c r="H11" s="10"/>
    </row>
    <row r="12" spans="2:11" x14ac:dyDescent="0.2">
      <c r="B12" s="1" t="s">
        <v>112</v>
      </c>
      <c r="C12" s="1">
        <v>35</v>
      </c>
      <c r="D12">
        <v>2</v>
      </c>
      <c r="E12">
        <f t="shared" si="0"/>
        <v>0</v>
      </c>
      <c r="F12" s="10">
        <f t="shared" si="1"/>
        <v>0</v>
      </c>
      <c r="G12" s="10">
        <f t="shared" si="2"/>
        <v>0</v>
      </c>
      <c r="H12" s="10"/>
    </row>
    <row r="13" spans="2:11" x14ac:dyDescent="0.2">
      <c r="B13" s="1" t="s">
        <v>75</v>
      </c>
      <c r="C13" s="9">
        <v>15</v>
      </c>
      <c r="E13">
        <f t="shared" si="0"/>
        <v>0</v>
      </c>
      <c r="F13" s="10">
        <f t="shared" si="1"/>
        <v>0</v>
      </c>
      <c r="G13" s="10">
        <f t="shared" si="2"/>
        <v>0</v>
      </c>
      <c r="H13" s="10"/>
    </row>
    <row r="14" spans="2:11" x14ac:dyDescent="0.2">
      <c r="B14" s="1" t="s">
        <v>37</v>
      </c>
      <c r="C14" s="1">
        <v>20</v>
      </c>
      <c r="E14">
        <f t="shared" si="0"/>
        <v>0</v>
      </c>
      <c r="F14" s="10">
        <f t="shared" si="1"/>
        <v>0</v>
      </c>
      <c r="G14" s="10">
        <f t="shared" si="2"/>
        <v>0</v>
      </c>
      <c r="H14" s="10"/>
    </row>
    <row r="15" spans="2:11" x14ac:dyDescent="0.2">
      <c r="B15" s="1" t="s">
        <v>178</v>
      </c>
      <c r="C15" s="1">
        <v>120</v>
      </c>
      <c r="D15">
        <v>1</v>
      </c>
      <c r="E15">
        <f t="shared" si="0"/>
        <v>0</v>
      </c>
      <c r="F15" s="10">
        <f t="shared" si="1"/>
        <v>0</v>
      </c>
      <c r="G15" s="10">
        <f t="shared" si="2"/>
        <v>0</v>
      </c>
      <c r="H15" s="10"/>
    </row>
    <row r="16" spans="2:11" x14ac:dyDescent="0.2">
      <c r="B16" s="1" t="s">
        <v>105</v>
      </c>
      <c r="C16" s="1">
        <v>180</v>
      </c>
      <c r="D16">
        <v>1</v>
      </c>
      <c r="E16">
        <f t="shared" si="0"/>
        <v>0</v>
      </c>
      <c r="F16" s="10">
        <f t="shared" si="1"/>
        <v>0</v>
      </c>
      <c r="G16" s="10">
        <f t="shared" si="2"/>
        <v>0</v>
      </c>
      <c r="H16" s="10"/>
    </row>
    <row r="17" spans="2:8" x14ac:dyDescent="0.2">
      <c r="B17" s="1" t="s">
        <v>68</v>
      </c>
      <c r="C17" s="1">
        <v>180</v>
      </c>
      <c r="D17">
        <v>0</v>
      </c>
      <c r="E17">
        <f t="shared" si="0"/>
        <v>0</v>
      </c>
      <c r="F17" s="10">
        <f t="shared" si="1"/>
        <v>0</v>
      </c>
      <c r="G17" s="10">
        <f t="shared" si="2"/>
        <v>0</v>
      </c>
      <c r="H17" s="10"/>
    </row>
    <row r="18" spans="2:8" x14ac:dyDescent="0.2">
      <c r="B18" s="1" t="s">
        <v>38</v>
      </c>
      <c r="C18" s="1">
        <v>20</v>
      </c>
      <c r="D18">
        <v>1</v>
      </c>
      <c r="E18">
        <f t="shared" si="0"/>
        <v>0</v>
      </c>
      <c r="F18" s="10">
        <f t="shared" si="1"/>
        <v>0</v>
      </c>
      <c r="G18" s="10">
        <f t="shared" si="2"/>
        <v>0</v>
      </c>
      <c r="H18" s="10"/>
    </row>
    <row r="19" spans="2:8" x14ac:dyDescent="0.2">
      <c r="B19" s="1" t="s">
        <v>106</v>
      </c>
      <c r="C19" s="1">
        <v>100</v>
      </c>
      <c r="D19">
        <v>1</v>
      </c>
      <c r="E19">
        <f t="shared" si="0"/>
        <v>0</v>
      </c>
      <c r="F19" s="10">
        <f t="shared" si="1"/>
        <v>0</v>
      </c>
      <c r="G19" s="10">
        <f t="shared" si="2"/>
        <v>0</v>
      </c>
      <c r="H19" s="10"/>
    </row>
    <row r="20" spans="2:8" x14ac:dyDescent="0.2">
      <c r="B20" s="1" t="s">
        <v>114</v>
      </c>
      <c r="C20" s="1">
        <v>180</v>
      </c>
      <c r="D20">
        <v>0</v>
      </c>
      <c r="E20">
        <f t="shared" si="0"/>
        <v>0</v>
      </c>
      <c r="F20" s="10">
        <f t="shared" si="1"/>
        <v>0</v>
      </c>
      <c r="G20" s="10">
        <f t="shared" si="2"/>
        <v>0</v>
      </c>
      <c r="H20" s="10"/>
    </row>
    <row r="21" spans="2:8" x14ac:dyDescent="0.2">
      <c r="B21" s="1" t="s">
        <v>65</v>
      </c>
      <c r="C21" s="1">
        <v>30</v>
      </c>
      <c r="D21">
        <v>1</v>
      </c>
      <c r="E21">
        <f t="shared" si="0"/>
        <v>0</v>
      </c>
      <c r="F21" s="10">
        <f t="shared" si="1"/>
        <v>0</v>
      </c>
      <c r="G21" s="10">
        <f t="shared" si="2"/>
        <v>0</v>
      </c>
      <c r="H21" s="10"/>
    </row>
    <row r="22" spans="2:8" x14ac:dyDescent="0.2">
      <c r="B22" s="1" t="s">
        <v>113</v>
      </c>
      <c r="C22" s="1">
        <v>100</v>
      </c>
      <c r="E22">
        <f t="shared" si="0"/>
        <v>0</v>
      </c>
      <c r="F22" s="10">
        <f t="shared" si="1"/>
        <v>0</v>
      </c>
      <c r="G22" s="10">
        <f t="shared" si="2"/>
        <v>0</v>
      </c>
      <c r="H22" s="10"/>
    </row>
    <row r="23" spans="2:8" x14ac:dyDescent="0.2">
      <c r="B23" s="1"/>
      <c r="C23" s="1"/>
    </row>
    <row r="28" spans="2:8" x14ac:dyDescent="0.2">
      <c r="E28" s="3"/>
    </row>
    <row r="34" spans="6:6" x14ac:dyDescent="0.2">
      <c r="F34" s="3"/>
    </row>
  </sheetData>
  <mergeCells count="1">
    <mergeCell ref="E1:G1"/>
  </mergeCells>
  <phoneticPr fontId="2" type="noConversion"/>
  <pageMargins left="0.75" right="0.75" top="1" bottom="1" header="0" footer="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J132"/>
  <sheetViews>
    <sheetView workbookViewId="0">
      <selection activeCell="F1" sqref="F1"/>
    </sheetView>
  </sheetViews>
  <sheetFormatPr baseColWidth="10" defaultRowHeight="12.75" x14ac:dyDescent="0.2"/>
  <cols>
    <col min="1" max="1" width="6" customWidth="1"/>
    <col min="2" max="2" width="19.28515625" customWidth="1"/>
    <col min="3" max="3" width="8" customWidth="1"/>
    <col min="4" max="4" width="8.28515625" customWidth="1"/>
    <col min="5" max="5" width="10.28515625" customWidth="1"/>
    <col min="6" max="6" width="8.140625" customWidth="1"/>
    <col min="7" max="7" width="15" customWidth="1"/>
  </cols>
  <sheetData>
    <row r="2" spans="2:5" x14ac:dyDescent="0.2">
      <c r="B2" s="3" t="s">
        <v>71</v>
      </c>
    </row>
    <row r="3" spans="2:5" x14ac:dyDescent="0.2">
      <c r="C3" s="7"/>
    </row>
    <row r="4" spans="2:5" x14ac:dyDescent="0.2">
      <c r="C4" t="s">
        <v>77</v>
      </c>
      <c r="D4" s="12"/>
      <c r="E4" s="3"/>
    </row>
    <row r="5" spans="2:5" x14ac:dyDescent="0.2">
      <c r="B5" t="s">
        <v>9</v>
      </c>
      <c r="C5" s="5"/>
      <c r="D5" t="s">
        <v>90</v>
      </c>
    </row>
    <row r="6" spans="2:5" x14ac:dyDescent="0.2">
      <c r="B6" t="s">
        <v>160</v>
      </c>
      <c r="C6" s="4"/>
      <c r="D6" t="s">
        <v>104</v>
      </c>
    </row>
    <row r="7" spans="2:5" x14ac:dyDescent="0.2">
      <c r="B7" t="s">
        <v>2</v>
      </c>
      <c r="C7" s="5"/>
      <c r="D7" t="s">
        <v>91</v>
      </c>
    </row>
    <row r="8" spans="2:5" x14ac:dyDescent="0.2">
      <c r="B8" t="s">
        <v>3</v>
      </c>
      <c r="C8" s="5"/>
      <c r="D8" t="s">
        <v>91</v>
      </c>
    </row>
    <row r="9" spans="2:5" x14ac:dyDescent="0.2">
      <c r="B9" t="s">
        <v>1</v>
      </c>
      <c r="C9" s="5"/>
      <c r="D9" t="s">
        <v>91</v>
      </c>
    </row>
    <row r="10" spans="2:5" x14ac:dyDescent="0.2">
      <c r="B10" t="s">
        <v>128</v>
      </c>
      <c r="C10" s="5"/>
      <c r="D10" t="s">
        <v>91</v>
      </c>
    </row>
    <row r="11" spans="2:5" x14ac:dyDescent="0.2">
      <c r="B11" t="s">
        <v>115</v>
      </c>
      <c r="C11" s="5"/>
      <c r="D11" t="s">
        <v>104</v>
      </c>
    </row>
    <row r="12" spans="2:5" x14ac:dyDescent="0.2">
      <c r="B12" t="s">
        <v>116</v>
      </c>
      <c r="C12" s="5"/>
    </row>
    <row r="13" spans="2:5" x14ac:dyDescent="0.2">
      <c r="B13" t="s">
        <v>31</v>
      </c>
      <c r="C13" s="5"/>
      <c r="D13" t="s">
        <v>100</v>
      </c>
    </row>
    <row r="14" spans="2:5" x14ac:dyDescent="0.2">
      <c r="B14" t="s">
        <v>19</v>
      </c>
      <c r="C14" s="5"/>
      <c r="D14" t="s">
        <v>91</v>
      </c>
    </row>
    <row r="15" spans="2:5" x14ac:dyDescent="0.2">
      <c r="B15" t="s">
        <v>4</v>
      </c>
      <c r="C15" s="5"/>
      <c r="D15" t="s">
        <v>91</v>
      </c>
    </row>
    <row r="16" spans="2:5" x14ac:dyDescent="0.2">
      <c r="B16" t="s">
        <v>32</v>
      </c>
      <c r="C16" s="5"/>
      <c r="D16" t="s">
        <v>91</v>
      </c>
    </row>
    <row r="17" spans="2:4" x14ac:dyDescent="0.2">
      <c r="B17" t="s">
        <v>124</v>
      </c>
      <c r="C17" s="5"/>
      <c r="D17" t="s">
        <v>91</v>
      </c>
    </row>
    <row r="18" spans="2:4" x14ac:dyDescent="0.2">
      <c r="B18" t="s">
        <v>130</v>
      </c>
      <c r="C18" s="5"/>
      <c r="D18" t="s">
        <v>104</v>
      </c>
    </row>
    <row r="19" spans="2:4" x14ac:dyDescent="0.2">
      <c r="B19" t="s">
        <v>131</v>
      </c>
      <c r="C19" s="5"/>
      <c r="D19" t="s">
        <v>91</v>
      </c>
    </row>
    <row r="20" spans="2:4" x14ac:dyDescent="0.2">
      <c r="B20" t="s">
        <v>10</v>
      </c>
      <c r="C20" s="5"/>
      <c r="D20" t="s">
        <v>91</v>
      </c>
    </row>
    <row r="21" spans="2:4" x14ac:dyDescent="0.2">
      <c r="B21" t="s">
        <v>12</v>
      </c>
      <c r="C21" s="5"/>
      <c r="D21" t="s">
        <v>91</v>
      </c>
    </row>
    <row r="22" spans="2:4" x14ac:dyDescent="0.2">
      <c r="B22" t="s">
        <v>78</v>
      </c>
      <c r="C22" s="5"/>
      <c r="D22" t="s">
        <v>91</v>
      </c>
    </row>
    <row r="23" spans="2:4" x14ac:dyDescent="0.2">
      <c r="B23" t="s">
        <v>11</v>
      </c>
      <c r="C23" s="5"/>
      <c r="D23" t="s">
        <v>91</v>
      </c>
    </row>
    <row r="24" spans="2:4" x14ac:dyDescent="0.2">
      <c r="B24" t="s">
        <v>13</v>
      </c>
      <c r="C24" s="5"/>
      <c r="D24" t="s">
        <v>91</v>
      </c>
    </row>
    <row r="25" spans="2:4" x14ac:dyDescent="0.2">
      <c r="B25" t="s">
        <v>129</v>
      </c>
      <c r="C25" s="5"/>
    </row>
    <row r="26" spans="2:4" x14ac:dyDescent="0.2">
      <c r="B26" t="s">
        <v>14</v>
      </c>
      <c r="C26" s="5"/>
      <c r="D26" t="s">
        <v>91</v>
      </c>
    </row>
    <row r="27" spans="2:4" x14ac:dyDescent="0.2">
      <c r="B27" t="s">
        <v>153</v>
      </c>
      <c r="C27" s="5"/>
      <c r="D27" t="s">
        <v>121</v>
      </c>
    </row>
    <row r="28" spans="2:4" x14ac:dyDescent="0.2">
      <c r="B28" t="s">
        <v>132</v>
      </c>
      <c r="C28" s="5"/>
      <c r="D28" t="s">
        <v>91</v>
      </c>
    </row>
    <row r="29" spans="2:4" x14ac:dyDescent="0.2">
      <c r="B29" t="s">
        <v>0</v>
      </c>
      <c r="C29" s="5"/>
      <c r="D29" t="s">
        <v>118</v>
      </c>
    </row>
    <row r="30" spans="2:4" x14ac:dyDescent="0.2">
      <c r="B30" t="s">
        <v>36</v>
      </c>
      <c r="C30" s="5"/>
      <c r="D30" t="s">
        <v>91</v>
      </c>
    </row>
    <row r="31" spans="2:4" x14ac:dyDescent="0.2">
      <c r="B31" t="s">
        <v>117</v>
      </c>
      <c r="C31" s="5"/>
    </row>
    <row r="32" spans="2:4" x14ac:dyDescent="0.2">
      <c r="B32" t="s">
        <v>133</v>
      </c>
      <c r="C32" s="5"/>
      <c r="D32" t="s">
        <v>90</v>
      </c>
    </row>
    <row r="33" spans="2:4" x14ac:dyDescent="0.2">
      <c r="B33" t="s">
        <v>134</v>
      </c>
      <c r="C33" s="5"/>
      <c r="D33" t="s">
        <v>135</v>
      </c>
    </row>
    <row r="34" spans="2:4" x14ac:dyDescent="0.2">
      <c r="B34" t="s">
        <v>119</v>
      </c>
      <c r="C34" s="5"/>
      <c r="D34" t="s">
        <v>90</v>
      </c>
    </row>
    <row r="35" spans="2:4" x14ac:dyDescent="0.2">
      <c r="B35" t="s">
        <v>120</v>
      </c>
      <c r="C35" s="5"/>
      <c r="D35" t="s">
        <v>90</v>
      </c>
    </row>
    <row r="36" spans="2:4" x14ac:dyDescent="0.2">
      <c r="B36" t="s">
        <v>30</v>
      </c>
      <c r="C36" s="5"/>
      <c r="D36" t="s">
        <v>104</v>
      </c>
    </row>
    <row r="37" spans="2:4" x14ac:dyDescent="0.2">
      <c r="B37" t="s">
        <v>20</v>
      </c>
      <c r="C37" s="5"/>
      <c r="D37" t="s">
        <v>91</v>
      </c>
    </row>
    <row r="38" spans="2:4" x14ac:dyDescent="0.2">
      <c r="B38" t="s">
        <v>6</v>
      </c>
      <c r="C38" s="5"/>
      <c r="D38" t="s">
        <v>91</v>
      </c>
    </row>
    <row r="39" spans="2:4" x14ac:dyDescent="0.2">
      <c r="B39" t="s">
        <v>74</v>
      </c>
      <c r="C39" s="5"/>
      <c r="D39" t="s">
        <v>91</v>
      </c>
    </row>
    <row r="40" spans="2:4" x14ac:dyDescent="0.2">
      <c r="B40" t="s">
        <v>73</v>
      </c>
      <c r="C40" s="5"/>
      <c r="D40" t="s">
        <v>91</v>
      </c>
    </row>
    <row r="41" spans="2:4" x14ac:dyDescent="0.2">
      <c r="B41" t="s">
        <v>75</v>
      </c>
      <c r="C41" s="5"/>
      <c r="D41" t="s">
        <v>91</v>
      </c>
    </row>
    <row r="42" spans="2:4" x14ac:dyDescent="0.2">
      <c r="B42" t="s">
        <v>29</v>
      </c>
      <c r="C42" s="5"/>
      <c r="D42" t="s">
        <v>91</v>
      </c>
    </row>
    <row r="43" spans="2:4" x14ac:dyDescent="0.2">
      <c r="B43" t="s">
        <v>125</v>
      </c>
      <c r="C43" s="5"/>
      <c r="D43" t="s">
        <v>91</v>
      </c>
    </row>
    <row r="44" spans="2:4" x14ac:dyDescent="0.2">
      <c r="B44" t="s">
        <v>126</v>
      </c>
      <c r="C44" s="5"/>
    </row>
    <row r="45" spans="2:4" x14ac:dyDescent="0.2">
      <c r="B45" t="s">
        <v>27</v>
      </c>
      <c r="C45" s="5"/>
      <c r="D45" t="s">
        <v>91</v>
      </c>
    </row>
    <row r="46" spans="2:4" x14ac:dyDescent="0.2">
      <c r="B46" t="s">
        <v>28</v>
      </c>
      <c r="C46" s="5"/>
      <c r="D46" t="s">
        <v>91</v>
      </c>
    </row>
    <row r="47" spans="2:4" x14ac:dyDescent="0.2">
      <c r="B47" t="s">
        <v>26</v>
      </c>
      <c r="C47" s="5"/>
      <c r="D47" t="s">
        <v>91</v>
      </c>
    </row>
    <row r="48" spans="2:4" x14ac:dyDescent="0.2">
      <c r="B48" t="s">
        <v>23</v>
      </c>
      <c r="C48" s="5"/>
      <c r="D48" t="s">
        <v>91</v>
      </c>
    </row>
    <row r="49" spans="2:4" x14ac:dyDescent="0.2">
      <c r="B49" t="s">
        <v>22</v>
      </c>
      <c r="C49" s="5"/>
      <c r="D49" t="s">
        <v>91</v>
      </c>
    </row>
    <row r="50" spans="2:4" x14ac:dyDescent="0.2">
      <c r="B50" t="s">
        <v>24</v>
      </c>
      <c r="C50" s="5"/>
      <c r="D50" t="s">
        <v>91</v>
      </c>
    </row>
    <row r="51" spans="2:4" x14ac:dyDescent="0.2">
      <c r="B51" t="s">
        <v>25</v>
      </c>
      <c r="C51" s="5"/>
      <c r="D51" t="s">
        <v>91</v>
      </c>
    </row>
    <row r="52" spans="2:4" x14ac:dyDescent="0.2">
      <c r="B52" t="s">
        <v>34</v>
      </c>
      <c r="C52" s="5"/>
      <c r="D52" t="s">
        <v>91</v>
      </c>
    </row>
    <row r="53" spans="2:4" x14ac:dyDescent="0.2">
      <c r="B53" t="s">
        <v>33</v>
      </c>
      <c r="C53" s="5"/>
      <c r="D53" t="s">
        <v>91</v>
      </c>
    </row>
    <row r="54" spans="2:4" x14ac:dyDescent="0.2">
      <c r="B54" t="s">
        <v>5</v>
      </c>
      <c r="C54" s="5"/>
      <c r="D54" t="s">
        <v>91</v>
      </c>
    </row>
    <row r="55" spans="2:4" x14ac:dyDescent="0.2">
      <c r="B55" t="s">
        <v>138</v>
      </c>
      <c r="C55" s="5"/>
      <c r="D55" t="s">
        <v>91</v>
      </c>
    </row>
    <row r="56" spans="2:4" x14ac:dyDescent="0.2">
      <c r="B56" t="s">
        <v>127</v>
      </c>
      <c r="C56" s="5"/>
      <c r="D56" t="s">
        <v>91</v>
      </c>
    </row>
    <row r="57" spans="2:4" x14ac:dyDescent="0.2">
      <c r="B57" t="s">
        <v>8</v>
      </c>
      <c r="C57" s="5"/>
      <c r="D57" t="s">
        <v>91</v>
      </c>
    </row>
    <row r="58" spans="2:4" x14ac:dyDescent="0.2">
      <c r="B58" t="s">
        <v>16</v>
      </c>
      <c r="C58" s="5"/>
      <c r="D58" t="s">
        <v>121</v>
      </c>
    </row>
    <row r="59" spans="2:4" x14ac:dyDescent="0.2">
      <c r="B59" t="s">
        <v>35</v>
      </c>
      <c r="C59" s="5"/>
      <c r="D59" t="s">
        <v>118</v>
      </c>
    </row>
    <row r="60" spans="2:4" x14ac:dyDescent="0.2">
      <c r="B60" t="s">
        <v>136</v>
      </c>
      <c r="C60" s="5"/>
      <c r="D60" t="s">
        <v>91</v>
      </c>
    </row>
    <row r="61" spans="2:4" x14ac:dyDescent="0.2">
      <c r="B61" t="s">
        <v>137</v>
      </c>
      <c r="C61" s="5"/>
      <c r="D61" t="s">
        <v>121</v>
      </c>
    </row>
    <row r="62" spans="2:4" x14ac:dyDescent="0.2">
      <c r="B62" t="s">
        <v>139</v>
      </c>
      <c r="C62" s="5"/>
      <c r="D62" t="s">
        <v>91</v>
      </c>
    </row>
    <row r="63" spans="2:4" x14ac:dyDescent="0.2">
      <c r="B63" t="s">
        <v>18</v>
      </c>
      <c r="C63" s="5"/>
      <c r="D63" t="s">
        <v>103</v>
      </c>
    </row>
    <row r="64" spans="2:4" x14ac:dyDescent="0.2">
      <c r="B64" t="s">
        <v>76</v>
      </c>
      <c r="C64" s="5"/>
      <c r="D64" t="s">
        <v>91</v>
      </c>
    </row>
    <row r="65" spans="1:10" x14ac:dyDescent="0.2">
      <c r="B65" t="s">
        <v>122</v>
      </c>
      <c r="C65" s="5"/>
      <c r="D65" t="s">
        <v>90</v>
      </c>
    </row>
    <row r="66" spans="1:10" x14ac:dyDescent="0.2">
      <c r="B66" t="s">
        <v>21</v>
      </c>
      <c r="C66" s="5"/>
      <c r="D66" t="s">
        <v>90</v>
      </c>
    </row>
    <row r="67" spans="1:10" x14ac:dyDescent="0.2">
      <c r="C67" s="13"/>
    </row>
    <row r="68" spans="1:10" x14ac:dyDescent="0.2">
      <c r="C68" s="13"/>
    </row>
    <row r="70" spans="1:10" x14ac:dyDescent="0.2">
      <c r="B70" s="3"/>
    </row>
    <row r="72" spans="1:10" x14ac:dyDescent="0.2">
      <c r="A72">
        <v>10</v>
      </c>
      <c r="B72" t="s">
        <v>156</v>
      </c>
      <c r="C72">
        <v>255</v>
      </c>
      <c r="D72" t="s">
        <v>90</v>
      </c>
      <c r="G72" t="s">
        <v>94</v>
      </c>
      <c r="H72">
        <v>122</v>
      </c>
      <c r="J72" t="s">
        <v>90</v>
      </c>
    </row>
    <row r="73" spans="1:10" x14ac:dyDescent="0.2">
      <c r="A73">
        <v>10</v>
      </c>
      <c r="B73" t="s">
        <v>157</v>
      </c>
      <c r="C73">
        <v>458</v>
      </c>
      <c r="G73" t="s">
        <v>140</v>
      </c>
      <c r="H73">
        <v>25</v>
      </c>
    </row>
    <row r="74" spans="1:10" x14ac:dyDescent="0.2">
      <c r="A74">
        <v>1000</v>
      </c>
      <c r="B74" t="s">
        <v>155</v>
      </c>
      <c r="C74">
        <v>14000</v>
      </c>
      <c r="D74" t="s">
        <v>142</v>
      </c>
      <c r="G74" t="s">
        <v>141</v>
      </c>
      <c r="H74">
        <v>10</v>
      </c>
      <c r="J74" t="s">
        <v>142</v>
      </c>
    </row>
    <row r="75" spans="1:10" x14ac:dyDescent="0.2">
      <c r="B75" t="s">
        <v>147</v>
      </c>
      <c r="C75">
        <v>5</v>
      </c>
      <c r="D75" t="s">
        <v>142</v>
      </c>
      <c r="G75" t="s">
        <v>144</v>
      </c>
      <c r="H75">
        <v>10</v>
      </c>
      <c r="J75" t="s">
        <v>142</v>
      </c>
    </row>
    <row r="76" spans="1:10" x14ac:dyDescent="0.2">
      <c r="B76" t="s">
        <v>140</v>
      </c>
      <c r="C76">
        <v>40</v>
      </c>
      <c r="D76" t="s">
        <v>90</v>
      </c>
      <c r="G76" t="s">
        <v>82</v>
      </c>
      <c r="H76">
        <v>92</v>
      </c>
      <c r="J76" t="s">
        <v>142</v>
      </c>
    </row>
    <row r="77" spans="1:10" x14ac:dyDescent="0.2">
      <c r="B77" t="s">
        <v>161</v>
      </c>
      <c r="C77">
        <v>7</v>
      </c>
      <c r="D77" t="s">
        <v>143</v>
      </c>
      <c r="G77" t="s">
        <v>81</v>
      </c>
      <c r="H77">
        <v>173</v>
      </c>
      <c r="J77" t="s">
        <v>143</v>
      </c>
    </row>
    <row r="78" spans="1:10" x14ac:dyDescent="0.2">
      <c r="B78" t="s">
        <v>145</v>
      </c>
      <c r="C78">
        <v>60</v>
      </c>
      <c r="D78" t="s">
        <v>121</v>
      </c>
      <c r="G78" t="s">
        <v>80</v>
      </c>
      <c r="H78">
        <v>0</v>
      </c>
      <c r="J78" t="s">
        <v>121</v>
      </c>
    </row>
    <row r="79" spans="1:10" x14ac:dyDescent="0.2">
      <c r="B79" t="s">
        <v>93</v>
      </c>
      <c r="C79">
        <v>0</v>
      </c>
      <c r="D79" t="s">
        <v>154</v>
      </c>
      <c r="G79" t="s">
        <v>151</v>
      </c>
      <c r="H79">
        <v>10</v>
      </c>
      <c r="J79" t="s">
        <v>154</v>
      </c>
    </row>
    <row r="80" spans="1:10" x14ac:dyDescent="0.2">
      <c r="B80" t="s">
        <v>92</v>
      </c>
      <c r="C80">
        <v>11</v>
      </c>
      <c r="D80" t="s">
        <v>154</v>
      </c>
      <c r="G80" t="s">
        <v>84</v>
      </c>
      <c r="H80">
        <v>55</v>
      </c>
      <c r="J80" t="s">
        <v>154</v>
      </c>
    </row>
    <row r="81" spans="1:10" x14ac:dyDescent="0.2">
      <c r="B81" t="s">
        <v>141</v>
      </c>
      <c r="C81">
        <v>0</v>
      </c>
      <c r="D81" t="s">
        <v>154</v>
      </c>
      <c r="G81" t="s">
        <v>85</v>
      </c>
      <c r="H81">
        <v>136</v>
      </c>
      <c r="J81" t="s">
        <v>154</v>
      </c>
    </row>
    <row r="82" spans="1:10" x14ac:dyDescent="0.2">
      <c r="B82" t="s">
        <v>82</v>
      </c>
      <c r="C82">
        <v>88</v>
      </c>
      <c r="D82" t="s">
        <v>154</v>
      </c>
      <c r="G82" t="s">
        <v>92</v>
      </c>
      <c r="H82">
        <v>15</v>
      </c>
      <c r="J82" t="s">
        <v>154</v>
      </c>
    </row>
    <row r="83" spans="1:10" x14ac:dyDescent="0.2">
      <c r="A83">
        <v>4</v>
      </c>
      <c r="B83" t="s">
        <v>144</v>
      </c>
      <c r="C83">
        <v>25</v>
      </c>
      <c r="D83" t="s">
        <v>142</v>
      </c>
      <c r="G83" t="s">
        <v>93</v>
      </c>
      <c r="H83">
        <v>0</v>
      </c>
      <c r="J83" t="s">
        <v>154</v>
      </c>
    </row>
    <row r="84" spans="1:10" x14ac:dyDescent="0.2">
      <c r="B84" t="s">
        <v>152</v>
      </c>
      <c r="C84">
        <v>11</v>
      </c>
      <c r="D84" t="s">
        <v>146</v>
      </c>
      <c r="G84" t="s">
        <v>145</v>
      </c>
      <c r="H84">
        <v>72</v>
      </c>
      <c r="J84" t="s">
        <v>146</v>
      </c>
    </row>
    <row r="85" spans="1:10" x14ac:dyDescent="0.2">
      <c r="B85" t="s">
        <v>181</v>
      </c>
      <c r="C85">
        <v>65</v>
      </c>
      <c r="D85" t="s">
        <v>154</v>
      </c>
      <c r="G85" t="s">
        <v>147</v>
      </c>
      <c r="H85">
        <v>5</v>
      </c>
      <c r="J85" t="s">
        <v>142</v>
      </c>
    </row>
    <row r="86" spans="1:10" x14ac:dyDescent="0.2">
      <c r="B86" t="s">
        <v>80</v>
      </c>
      <c r="C86">
        <v>113</v>
      </c>
      <c r="D86" t="s">
        <v>146</v>
      </c>
      <c r="G86" t="s">
        <v>148</v>
      </c>
      <c r="H86">
        <v>59</v>
      </c>
      <c r="J86" t="s">
        <v>146</v>
      </c>
    </row>
    <row r="87" spans="1:10" x14ac:dyDescent="0.2">
      <c r="B87" t="s">
        <v>151</v>
      </c>
      <c r="C87">
        <v>25</v>
      </c>
      <c r="D87" t="s">
        <v>121</v>
      </c>
      <c r="G87" t="s">
        <v>149</v>
      </c>
      <c r="H87">
        <v>40</v>
      </c>
      <c r="J87" t="s">
        <v>121</v>
      </c>
    </row>
    <row r="88" spans="1:10" x14ac:dyDescent="0.2">
      <c r="B88" t="s">
        <v>149</v>
      </c>
      <c r="C88">
        <v>45</v>
      </c>
      <c r="D88" t="s">
        <v>154</v>
      </c>
      <c r="G88" t="s">
        <v>150</v>
      </c>
      <c r="H88">
        <v>9</v>
      </c>
      <c r="J88" t="s">
        <v>154</v>
      </c>
    </row>
    <row r="89" spans="1:10" x14ac:dyDescent="0.2">
      <c r="B89" t="s">
        <v>148</v>
      </c>
      <c r="C89">
        <v>5</v>
      </c>
      <c r="D89" t="s">
        <v>142</v>
      </c>
      <c r="G89" t="s">
        <v>152</v>
      </c>
      <c r="H89">
        <v>0</v>
      </c>
      <c r="J89" t="s">
        <v>142</v>
      </c>
    </row>
    <row r="90" spans="1:10" x14ac:dyDescent="0.2">
      <c r="A90">
        <v>2</v>
      </c>
      <c r="B90" t="s">
        <v>150</v>
      </c>
      <c r="C90">
        <v>5</v>
      </c>
      <c r="D90" t="s">
        <v>154</v>
      </c>
      <c r="G90" t="s">
        <v>155</v>
      </c>
      <c r="H90">
        <v>4500</v>
      </c>
      <c r="J90" t="s">
        <v>154</v>
      </c>
    </row>
    <row r="91" spans="1:10" x14ac:dyDescent="0.2">
      <c r="B91" t="s">
        <v>84</v>
      </c>
      <c r="C91">
        <v>58</v>
      </c>
      <c r="D91" t="s">
        <v>154</v>
      </c>
      <c r="G91" t="s">
        <v>156</v>
      </c>
      <c r="H91">
        <v>2640</v>
      </c>
      <c r="J91" t="s">
        <v>154</v>
      </c>
    </row>
    <row r="92" spans="1:10" x14ac:dyDescent="0.2">
      <c r="B92" t="s">
        <v>85</v>
      </c>
      <c r="C92">
        <v>240</v>
      </c>
      <c r="D92" t="s">
        <v>154</v>
      </c>
      <c r="G92" t="s">
        <v>157</v>
      </c>
      <c r="H92">
        <v>4720</v>
      </c>
      <c r="J92" t="s">
        <v>154</v>
      </c>
    </row>
    <row r="93" spans="1:10" x14ac:dyDescent="0.2">
      <c r="B93" t="s">
        <v>85</v>
      </c>
      <c r="C93">
        <v>18</v>
      </c>
    </row>
    <row r="96" spans="1:10" x14ac:dyDescent="0.2">
      <c r="B96" s="3" t="s">
        <v>69</v>
      </c>
    </row>
    <row r="97" spans="2:3" x14ac:dyDescent="0.2">
      <c r="B97" t="s">
        <v>42</v>
      </c>
      <c r="C97" s="2"/>
    </row>
    <row r="98" spans="2:3" x14ac:dyDescent="0.2">
      <c r="B98" t="s">
        <v>40</v>
      </c>
      <c r="C98" s="2"/>
    </row>
    <row r="99" spans="2:3" x14ac:dyDescent="0.2">
      <c r="B99" t="s">
        <v>64</v>
      </c>
      <c r="C99" s="2"/>
    </row>
    <row r="100" spans="2:3" x14ac:dyDescent="0.2">
      <c r="B100" t="s">
        <v>39</v>
      </c>
      <c r="C100" s="2"/>
    </row>
    <row r="101" spans="2:3" x14ac:dyDescent="0.2">
      <c r="B101" t="s">
        <v>43</v>
      </c>
      <c r="C101" s="2"/>
    </row>
    <row r="102" spans="2:3" x14ac:dyDescent="0.2">
      <c r="B102" t="s">
        <v>75</v>
      </c>
      <c r="C102" s="2"/>
    </row>
    <row r="103" spans="2:3" x14ac:dyDescent="0.2">
      <c r="B103" t="s">
        <v>37</v>
      </c>
      <c r="C103" s="2"/>
    </row>
    <row r="104" spans="2:3" x14ac:dyDescent="0.2">
      <c r="B104" t="s">
        <v>67</v>
      </c>
      <c r="C104" s="2"/>
    </row>
    <row r="105" spans="2:3" x14ac:dyDescent="0.2">
      <c r="B105" t="s">
        <v>68</v>
      </c>
      <c r="C105" s="2"/>
    </row>
    <row r="106" spans="2:3" x14ac:dyDescent="0.2">
      <c r="B106" t="s">
        <v>38</v>
      </c>
      <c r="C106" s="2"/>
    </row>
    <row r="107" spans="2:3" x14ac:dyDescent="0.2">
      <c r="B107" t="s">
        <v>41</v>
      </c>
      <c r="C107" s="2"/>
    </row>
    <row r="108" spans="2:3" x14ac:dyDescent="0.2">
      <c r="B108" t="s">
        <v>65</v>
      </c>
    </row>
    <row r="109" spans="2:3" x14ac:dyDescent="0.2">
      <c r="B109" t="s">
        <v>66</v>
      </c>
    </row>
    <row r="112" spans="2:3" x14ac:dyDescent="0.2">
      <c r="B112" s="3" t="s">
        <v>70</v>
      </c>
    </row>
    <row r="113" spans="2:2" x14ac:dyDescent="0.2">
      <c r="B113" t="s">
        <v>47</v>
      </c>
    </row>
    <row r="114" spans="2:2" x14ac:dyDescent="0.2">
      <c r="B114" t="s">
        <v>54</v>
      </c>
    </row>
    <row r="115" spans="2:2" x14ac:dyDescent="0.2">
      <c r="B115" t="s">
        <v>46</v>
      </c>
    </row>
    <row r="116" spans="2:2" x14ac:dyDescent="0.2">
      <c r="B116" t="s">
        <v>51</v>
      </c>
    </row>
    <row r="117" spans="2:2" x14ac:dyDescent="0.2">
      <c r="B117" t="s">
        <v>55</v>
      </c>
    </row>
    <row r="118" spans="2:2" x14ac:dyDescent="0.2">
      <c r="B118" t="s">
        <v>62</v>
      </c>
    </row>
    <row r="119" spans="2:2" x14ac:dyDescent="0.2">
      <c r="B119" t="s">
        <v>56</v>
      </c>
    </row>
    <row r="120" spans="2:2" x14ac:dyDescent="0.2">
      <c r="B120" t="s">
        <v>59</v>
      </c>
    </row>
    <row r="121" spans="2:2" x14ac:dyDescent="0.2">
      <c r="B121" t="s">
        <v>50</v>
      </c>
    </row>
    <row r="122" spans="2:2" x14ac:dyDescent="0.2">
      <c r="B122" t="s">
        <v>60</v>
      </c>
    </row>
    <row r="123" spans="2:2" x14ac:dyDescent="0.2">
      <c r="B123" t="s">
        <v>49</v>
      </c>
    </row>
    <row r="124" spans="2:2" x14ac:dyDescent="0.2">
      <c r="B124" t="s">
        <v>48</v>
      </c>
    </row>
    <row r="125" spans="2:2" x14ac:dyDescent="0.2">
      <c r="B125" t="s">
        <v>63</v>
      </c>
    </row>
    <row r="126" spans="2:2" x14ac:dyDescent="0.2">
      <c r="B126" t="s">
        <v>52</v>
      </c>
    </row>
    <row r="127" spans="2:2" x14ac:dyDescent="0.2">
      <c r="B127" t="s">
        <v>61</v>
      </c>
    </row>
    <row r="128" spans="2:2" x14ac:dyDescent="0.2">
      <c r="B128" t="s">
        <v>57</v>
      </c>
    </row>
    <row r="129" spans="2:2" x14ac:dyDescent="0.2">
      <c r="B129" t="s">
        <v>53</v>
      </c>
    </row>
    <row r="130" spans="2:2" x14ac:dyDescent="0.2">
      <c r="B130" t="s">
        <v>58</v>
      </c>
    </row>
    <row r="131" spans="2:2" x14ac:dyDescent="0.2">
      <c r="B131" t="s">
        <v>44</v>
      </c>
    </row>
    <row r="132" spans="2:2" x14ac:dyDescent="0.2">
      <c r="B132" t="s">
        <v>45</v>
      </c>
    </row>
  </sheetData>
  <phoneticPr fontId="2" type="noConversion"/>
  <pageMargins left="0.23" right="0.35" top="0.3" bottom="0.32" header="0.18" footer="0"/>
  <pageSetup orientation="portrait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P96"/>
  <sheetViews>
    <sheetView workbookViewId="0">
      <selection activeCell="G6" sqref="G6"/>
    </sheetView>
  </sheetViews>
  <sheetFormatPr baseColWidth="10" defaultRowHeight="12.75" x14ac:dyDescent="0.2"/>
  <cols>
    <col min="1" max="1" width="4.28515625" customWidth="1"/>
    <col min="2" max="2" width="16.7109375" customWidth="1"/>
    <col min="3" max="3" width="5.42578125" customWidth="1"/>
    <col min="4" max="4" width="3.5703125" customWidth="1"/>
    <col min="5" max="5" width="0.7109375" customWidth="1"/>
    <col min="6" max="6" width="3" customWidth="1"/>
    <col min="7" max="8" width="8.5703125" customWidth="1"/>
    <col min="9" max="9" width="12.5703125" customWidth="1"/>
    <col min="10" max="10" width="10.5703125" customWidth="1"/>
    <col min="11" max="11" width="1.85546875" customWidth="1"/>
    <col min="12" max="12" width="11" customWidth="1"/>
    <col min="13" max="13" width="2" customWidth="1"/>
    <col min="14" max="14" width="7.7109375" customWidth="1"/>
  </cols>
  <sheetData>
    <row r="2" spans="2:16" x14ac:dyDescent="0.2">
      <c r="B2" s="3" t="s">
        <v>71</v>
      </c>
      <c r="I2" s="8">
        <v>40450</v>
      </c>
    </row>
    <row r="3" spans="2:16" x14ac:dyDescent="0.2">
      <c r="B3" s="3"/>
      <c r="I3" s="8"/>
    </row>
    <row r="4" spans="2:16" x14ac:dyDescent="0.2">
      <c r="C4" t="s">
        <v>72</v>
      </c>
      <c r="F4" t="s">
        <v>95</v>
      </c>
      <c r="G4" t="s">
        <v>95</v>
      </c>
      <c r="O4" s="25"/>
      <c r="P4" s="25"/>
    </row>
    <row r="5" spans="2:16" x14ac:dyDescent="0.2">
      <c r="C5" t="s">
        <v>88</v>
      </c>
      <c r="E5">
        <v>1</v>
      </c>
      <c r="F5">
        <v>1</v>
      </c>
      <c r="G5">
        <v>200</v>
      </c>
      <c r="H5" t="s">
        <v>77</v>
      </c>
      <c r="I5" s="3" t="s">
        <v>163</v>
      </c>
      <c r="L5" s="7"/>
      <c r="O5" s="15"/>
      <c r="P5" s="15"/>
    </row>
    <row r="6" spans="2:16" x14ac:dyDescent="0.2">
      <c r="B6" t="s">
        <v>9</v>
      </c>
      <c r="C6">
        <v>20</v>
      </c>
      <c r="E6">
        <f t="shared" ref="E6:E24" si="0">((C6*E$5)/1000)</f>
        <v>0.02</v>
      </c>
      <c r="F6">
        <f t="shared" ref="F6:F24" si="1">((E6*5.5)*4)</f>
        <v>0.44</v>
      </c>
      <c r="G6" s="11">
        <f>F6*G$5</f>
        <v>88</v>
      </c>
      <c r="H6" s="4">
        <v>0</v>
      </c>
      <c r="I6" s="16"/>
      <c r="J6" s="14"/>
      <c r="K6" s="14"/>
      <c r="O6" s="3"/>
      <c r="P6" s="3"/>
    </row>
    <row r="7" spans="2:16" x14ac:dyDescent="0.2">
      <c r="B7" t="s">
        <v>123</v>
      </c>
      <c r="C7">
        <v>25</v>
      </c>
      <c r="E7">
        <f t="shared" si="0"/>
        <v>2.5000000000000001E-2</v>
      </c>
      <c r="F7">
        <f t="shared" si="1"/>
        <v>0.55000000000000004</v>
      </c>
      <c r="G7" s="11">
        <f t="shared" ref="G7:G47" si="2">F7*G$5</f>
        <v>110.00000000000001</v>
      </c>
      <c r="H7" s="4">
        <v>56</v>
      </c>
      <c r="I7" s="16"/>
      <c r="J7" s="14"/>
      <c r="K7" s="14"/>
      <c r="O7" s="3"/>
      <c r="P7" s="3"/>
    </row>
    <row r="8" spans="2:16" x14ac:dyDescent="0.2">
      <c r="B8" t="s">
        <v>2</v>
      </c>
      <c r="C8">
        <v>30</v>
      </c>
      <c r="E8">
        <f t="shared" si="0"/>
        <v>0.03</v>
      </c>
      <c r="F8">
        <f t="shared" si="1"/>
        <v>0.65999999999999992</v>
      </c>
      <c r="G8" s="11">
        <f t="shared" si="2"/>
        <v>131.99999999999997</v>
      </c>
      <c r="H8" s="4">
        <v>0</v>
      </c>
      <c r="I8" s="16"/>
      <c r="J8" s="14"/>
      <c r="K8" s="14"/>
      <c r="O8" s="3"/>
      <c r="P8" s="3"/>
    </row>
    <row r="9" spans="2:16" x14ac:dyDescent="0.2">
      <c r="B9" t="s">
        <v>3</v>
      </c>
      <c r="C9">
        <v>100</v>
      </c>
      <c r="E9">
        <f t="shared" si="0"/>
        <v>0.1</v>
      </c>
      <c r="F9">
        <v>0.25</v>
      </c>
      <c r="G9" s="11">
        <f t="shared" si="2"/>
        <v>50</v>
      </c>
      <c r="H9" s="4">
        <v>0</v>
      </c>
      <c r="I9" s="16"/>
      <c r="J9" s="14"/>
      <c r="K9" s="14"/>
      <c r="O9" s="3"/>
      <c r="P9" s="3"/>
    </row>
    <row r="10" spans="2:16" x14ac:dyDescent="0.2">
      <c r="B10" t="s">
        <v>1</v>
      </c>
      <c r="C10">
        <v>30</v>
      </c>
      <c r="D10" t="s">
        <v>72</v>
      </c>
      <c r="E10">
        <f t="shared" si="0"/>
        <v>0.03</v>
      </c>
      <c r="F10">
        <f t="shared" si="1"/>
        <v>0.65999999999999992</v>
      </c>
      <c r="G10" s="11">
        <f t="shared" si="2"/>
        <v>131.99999999999997</v>
      </c>
      <c r="H10" s="4">
        <v>0</v>
      </c>
      <c r="I10" s="16"/>
      <c r="J10" s="14"/>
      <c r="K10" s="14"/>
      <c r="O10" s="3"/>
      <c r="P10" s="3"/>
    </row>
    <row r="11" spans="2:16" x14ac:dyDescent="0.2">
      <c r="B11" t="s">
        <v>128</v>
      </c>
      <c r="C11">
        <v>2.5</v>
      </c>
      <c r="E11">
        <f t="shared" si="0"/>
        <v>2.5000000000000001E-3</v>
      </c>
      <c r="F11">
        <f t="shared" si="1"/>
        <v>5.5E-2</v>
      </c>
      <c r="G11" s="11">
        <f t="shared" si="2"/>
        <v>11</v>
      </c>
      <c r="H11" s="4">
        <v>0</v>
      </c>
      <c r="I11" s="16"/>
      <c r="J11" s="14"/>
      <c r="K11" s="14"/>
      <c r="O11" s="3"/>
      <c r="P11" s="3"/>
    </row>
    <row r="12" spans="2:16" x14ac:dyDescent="0.2">
      <c r="B12" t="s">
        <v>180</v>
      </c>
      <c r="C12">
        <v>0.1</v>
      </c>
      <c r="E12">
        <f t="shared" si="0"/>
        <v>1E-4</v>
      </c>
      <c r="F12">
        <f t="shared" si="1"/>
        <v>2.2000000000000001E-3</v>
      </c>
      <c r="G12" s="11">
        <f t="shared" si="2"/>
        <v>0.44</v>
      </c>
      <c r="H12" s="4">
        <v>0</v>
      </c>
      <c r="I12" s="16"/>
      <c r="J12" s="14"/>
      <c r="K12" s="14"/>
      <c r="O12" s="3"/>
      <c r="P12" s="3"/>
    </row>
    <row r="13" spans="2:16" x14ac:dyDescent="0.2">
      <c r="B13" t="s">
        <v>116</v>
      </c>
      <c r="C13">
        <v>10</v>
      </c>
      <c r="E13">
        <f t="shared" si="0"/>
        <v>0.01</v>
      </c>
      <c r="F13">
        <f t="shared" si="1"/>
        <v>0.22</v>
      </c>
      <c r="G13" s="11">
        <f t="shared" si="2"/>
        <v>44</v>
      </c>
      <c r="H13" s="4">
        <v>0</v>
      </c>
      <c r="I13" s="16"/>
      <c r="J13" s="14"/>
      <c r="K13" s="14"/>
      <c r="O13" s="3"/>
      <c r="P13" s="3"/>
    </row>
    <row r="14" spans="2:16" x14ac:dyDescent="0.2">
      <c r="B14" t="s">
        <v>31</v>
      </c>
      <c r="C14">
        <v>50</v>
      </c>
      <c r="E14">
        <f t="shared" si="0"/>
        <v>0.05</v>
      </c>
      <c r="F14">
        <f t="shared" si="1"/>
        <v>1.1000000000000001</v>
      </c>
      <c r="G14" s="11">
        <f t="shared" si="2"/>
        <v>220.00000000000003</v>
      </c>
      <c r="H14" s="4">
        <v>0</v>
      </c>
      <c r="I14" s="16"/>
      <c r="J14" s="14"/>
      <c r="K14" s="14"/>
      <c r="O14" s="3"/>
      <c r="P14" s="3"/>
    </row>
    <row r="15" spans="2:16" x14ac:dyDescent="0.2">
      <c r="B15" t="s">
        <v>19</v>
      </c>
      <c r="C15">
        <v>5</v>
      </c>
      <c r="E15">
        <f t="shared" si="0"/>
        <v>5.0000000000000001E-3</v>
      </c>
      <c r="F15">
        <f t="shared" si="1"/>
        <v>0.11</v>
      </c>
      <c r="G15" s="11">
        <f t="shared" si="2"/>
        <v>22</v>
      </c>
      <c r="H15" s="4">
        <v>10</v>
      </c>
      <c r="I15" s="16"/>
      <c r="J15" s="14"/>
      <c r="K15" s="14"/>
      <c r="O15" s="3"/>
      <c r="P15" s="3"/>
    </row>
    <row r="16" spans="2:16" x14ac:dyDescent="0.2">
      <c r="B16" t="s">
        <v>4</v>
      </c>
      <c r="C16">
        <v>6</v>
      </c>
      <c r="E16">
        <f t="shared" si="0"/>
        <v>6.0000000000000001E-3</v>
      </c>
      <c r="F16">
        <f t="shared" si="1"/>
        <v>0.13200000000000001</v>
      </c>
      <c r="G16" s="11">
        <f t="shared" si="2"/>
        <v>26.400000000000002</v>
      </c>
      <c r="H16" s="4">
        <v>0</v>
      </c>
      <c r="I16" s="16"/>
      <c r="J16" s="14"/>
      <c r="K16" s="14"/>
      <c r="O16" s="3"/>
      <c r="P16" s="3"/>
    </row>
    <row r="17" spans="2:16" x14ac:dyDescent="0.2">
      <c r="B17" t="s">
        <v>32</v>
      </c>
      <c r="C17">
        <v>0.2</v>
      </c>
      <c r="E17">
        <f t="shared" si="0"/>
        <v>2.0000000000000001E-4</v>
      </c>
      <c r="F17">
        <f t="shared" si="1"/>
        <v>4.4000000000000003E-3</v>
      </c>
      <c r="G17" s="11">
        <f t="shared" si="2"/>
        <v>0.88</v>
      </c>
      <c r="H17" s="4">
        <v>0</v>
      </c>
      <c r="I17" s="16"/>
      <c r="J17" s="14"/>
      <c r="K17" s="14"/>
      <c r="O17" s="3"/>
      <c r="P17" s="3"/>
    </row>
    <row r="18" spans="2:16" x14ac:dyDescent="0.2">
      <c r="B18" t="s">
        <v>124</v>
      </c>
      <c r="C18">
        <v>60</v>
      </c>
      <c r="E18">
        <f t="shared" si="0"/>
        <v>0.06</v>
      </c>
      <c r="F18">
        <f>((E18*1)*4)</f>
        <v>0.24</v>
      </c>
      <c r="G18" s="11">
        <f t="shared" si="2"/>
        <v>48</v>
      </c>
      <c r="H18" s="4">
        <v>0</v>
      </c>
      <c r="I18" s="16"/>
      <c r="J18" s="14"/>
      <c r="K18" s="14"/>
      <c r="O18" s="3"/>
      <c r="P18" s="3"/>
    </row>
    <row r="19" spans="2:16" x14ac:dyDescent="0.2">
      <c r="B19" t="s">
        <v>130</v>
      </c>
      <c r="C19">
        <v>6</v>
      </c>
      <c r="E19">
        <f t="shared" si="0"/>
        <v>6.0000000000000001E-3</v>
      </c>
      <c r="F19">
        <f t="shared" si="1"/>
        <v>0.13200000000000001</v>
      </c>
      <c r="G19" s="11">
        <f t="shared" si="2"/>
        <v>26.400000000000002</v>
      </c>
      <c r="H19" s="4">
        <v>0</v>
      </c>
      <c r="I19" s="16"/>
      <c r="J19" s="14"/>
      <c r="K19" s="14"/>
      <c r="O19" s="3"/>
      <c r="P19" s="3"/>
    </row>
    <row r="20" spans="2:16" x14ac:dyDescent="0.2">
      <c r="B20" t="s">
        <v>131</v>
      </c>
      <c r="C20">
        <v>60</v>
      </c>
      <c r="E20">
        <f t="shared" si="0"/>
        <v>0.06</v>
      </c>
      <c r="F20">
        <f t="shared" si="1"/>
        <v>1.3199999999999998</v>
      </c>
      <c r="G20" s="11">
        <f t="shared" si="2"/>
        <v>263.99999999999994</v>
      </c>
      <c r="H20" s="4">
        <v>0</v>
      </c>
      <c r="I20" s="16"/>
      <c r="J20" s="14"/>
      <c r="K20" s="14"/>
      <c r="O20" s="3"/>
      <c r="P20" s="3"/>
    </row>
    <row r="21" spans="2:16" x14ac:dyDescent="0.2">
      <c r="B21" t="s">
        <v>10</v>
      </c>
      <c r="C21">
        <v>10</v>
      </c>
      <c r="E21">
        <f t="shared" si="0"/>
        <v>0.01</v>
      </c>
      <c r="F21">
        <f t="shared" si="1"/>
        <v>0.22</v>
      </c>
      <c r="G21" s="11">
        <f t="shared" si="2"/>
        <v>44</v>
      </c>
      <c r="H21" s="4">
        <v>0</v>
      </c>
      <c r="I21" s="16"/>
      <c r="J21" s="14"/>
      <c r="K21" s="14"/>
      <c r="O21" s="3"/>
      <c r="P21" s="3"/>
    </row>
    <row r="22" spans="2:16" x14ac:dyDescent="0.2">
      <c r="B22" t="s">
        <v>12</v>
      </c>
      <c r="C22">
        <v>60</v>
      </c>
      <c r="E22">
        <f t="shared" si="0"/>
        <v>0.06</v>
      </c>
      <c r="F22">
        <f t="shared" si="1"/>
        <v>1.3199999999999998</v>
      </c>
      <c r="G22" s="11">
        <f t="shared" si="2"/>
        <v>263.99999999999994</v>
      </c>
      <c r="H22" s="4">
        <v>0</v>
      </c>
      <c r="I22" s="16"/>
      <c r="J22" s="14"/>
      <c r="K22" s="14"/>
      <c r="O22" s="3"/>
      <c r="P22" s="3"/>
    </row>
    <row r="23" spans="2:16" x14ac:dyDescent="0.2">
      <c r="B23" t="s">
        <v>78</v>
      </c>
      <c r="C23">
        <v>500</v>
      </c>
      <c r="D23" t="s">
        <v>72</v>
      </c>
      <c r="E23">
        <f t="shared" si="0"/>
        <v>0.5</v>
      </c>
      <c r="F23">
        <f t="shared" si="1"/>
        <v>11</v>
      </c>
      <c r="G23" s="11">
        <f t="shared" si="2"/>
        <v>2200</v>
      </c>
      <c r="H23" s="4">
        <v>0</v>
      </c>
      <c r="I23" s="16"/>
      <c r="J23" s="14"/>
      <c r="K23" s="14"/>
      <c r="O23" s="3"/>
      <c r="P23" s="3"/>
    </row>
    <row r="24" spans="2:16" x14ac:dyDescent="0.2">
      <c r="B24" t="s">
        <v>11</v>
      </c>
      <c r="C24">
        <v>2</v>
      </c>
      <c r="E24">
        <f t="shared" si="0"/>
        <v>2E-3</v>
      </c>
      <c r="F24">
        <f t="shared" si="1"/>
        <v>4.3999999999999997E-2</v>
      </c>
      <c r="G24" s="11">
        <f t="shared" si="2"/>
        <v>8.7999999999999989</v>
      </c>
      <c r="H24" s="4">
        <v>0</v>
      </c>
      <c r="I24" s="16"/>
      <c r="J24" s="14"/>
      <c r="K24" s="14"/>
      <c r="O24" s="3"/>
      <c r="P24" s="3"/>
    </row>
    <row r="25" spans="2:16" x14ac:dyDescent="0.2">
      <c r="B25" t="s">
        <v>13</v>
      </c>
      <c r="F25">
        <v>0</v>
      </c>
      <c r="G25" s="11">
        <f t="shared" si="2"/>
        <v>0</v>
      </c>
      <c r="H25" s="4">
        <v>0</v>
      </c>
      <c r="I25" s="16"/>
      <c r="J25" s="14"/>
      <c r="K25" s="14"/>
      <c r="O25" s="3"/>
      <c r="P25" s="3"/>
    </row>
    <row r="26" spans="2:16" x14ac:dyDescent="0.2">
      <c r="B26" t="s">
        <v>129</v>
      </c>
      <c r="C26">
        <v>0.2</v>
      </c>
      <c r="E26">
        <f t="shared" ref="E26:E47" si="3">((C26*E$5)/1000)</f>
        <v>2.0000000000000001E-4</v>
      </c>
      <c r="F26">
        <f t="shared" ref="F26:F47" si="4">((E26*5.5)*4)</f>
        <v>4.4000000000000003E-3</v>
      </c>
      <c r="G26" s="11">
        <f t="shared" si="2"/>
        <v>0.88</v>
      </c>
      <c r="H26" s="4">
        <v>0</v>
      </c>
      <c r="I26" s="16"/>
      <c r="J26" s="14"/>
      <c r="K26" s="14"/>
      <c r="O26" s="3"/>
      <c r="P26" s="3"/>
    </row>
    <row r="27" spans="2:16" x14ac:dyDescent="0.2">
      <c r="B27" t="s">
        <v>14</v>
      </c>
      <c r="C27">
        <v>20</v>
      </c>
      <c r="E27">
        <f t="shared" si="3"/>
        <v>0.02</v>
      </c>
      <c r="F27">
        <f t="shared" si="4"/>
        <v>0.44</v>
      </c>
      <c r="G27" s="11">
        <f t="shared" si="2"/>
        <v>88</v>
      </c>
      <c r="H27" s="4">
        <v>0</v>
      </c>
      <c r="I27" s="16"/>
      <c r="J27" s="14"/>
      <c r="K27" s="14"/>
      <c r="O27" s="3"/>
      <c r="P27" s="3"/>
    </row>
    <row r="28" spans="2:16" x14ac:dyDescent="0.2">
      <c r="B28" t="s">
        <v>153</v>
      </c>
      <c r="C28">
        <v>100</v>
      </c>
      <c r="E28">
        <f t="shared" si="3"/>
        <v>0.1</v>
      </c>
      <c r="F28">
        <f t="shared" si="4"/>
        <v>2.2000000000000002</v>
      </c>
      <c r="G28" s="11">
        <f t="shared" si="2"/>
        <v>440.00000000000006</v>
      </c>
      <c r="H28" s="4">
        <v>0</v>
      </c>
      <c r="I28" s="16"/>
      <c r="J28" s="14"/>
      <c r="K28" s="14"/>
      <c r="O28" s="3"/>
      <c r="P28" s="3"/>
    </row>
    <row r="29" spans="2:16" x14ac:dyDescent="0.2">
      <c r="B29" t="s">
        <v>132</v>
      </c>
      <c r="C29">
        <v>10</v>
      </c>
      <c r="E29">
        <f t="shared" si="3"/>
        <v>0.01</v>
      </c>
      <c r="F29">
        <f t="shared" si="4"/>
        <v>0.22</v>
      </c>
      <c r="G29" s="11">
        <f t="shared" si="2"/>
        <v>44</v>
      </c>
      <c r="H29" s="4">
        <v>0</v>
      </c>
      <c r="I29" s="16"/>
      <c r="J29" s="14"/>
      <c r="K29" s="14"/>
      <c r="O29" s="3"/>
      <c r="P29" s="3"/>
    </row>
    <row r="30" spans="2:16" x14ac:dyDescent="0.2">
      <c r="B30" t="s">
        <v>0</v>
      </c>
      <c r="C30">
        <v>30</v>
      </c>
      <c r="E30">
        <f t="shared" si="3"/>
        <v>0.03</v>
      </c>
      <c r="F30">
        <f t="shared" si="4"/>
        <v>0.65999999999999992</v>
      </c>
      <c r="G30" s="11">
        <f t="shared" si="2"/>
        <v>131.99999999999997</v>
      </c>
      <c r="H30" s="4">
        <v>0</v>
      </c>
      <c r="I30" s="16"/>
      <c r="J30" s="14"/>
      <c r="K30" s="14"/>
      <c r="O30" s="3"/>
      <c r="P30" s="3"/>
    </row>
    <row r="31" spans="2:16" x14ac:dyDescent="0.2">
      <c r="B31" t="s">
        <v>36</v>
      </c>
      <c r="C31">
        <v>10</v>
      </c>
      <c r="E31">
        <f t="shared" si="3"/>
        <v>0.01</v>
      </c>
      <c r="F31">
        <f t="shared" si="4"/>
        <v>0.22</v>
      </c>
      <c r="G31" s="11">
        <f t="shared" si="2"/>
        <v>44</v>
      </c>
      <c r="H31" s="4">
        <v>0</v>
      </c>
      <c r="I31" s="16"/>
      <c r="J31" s="14"/>
      <c r="K31" s="14"/>
      <c r="O31" s="3"/>
      <c r="P31" s="3"/>
    </row>
    <row r="32" spans="2:16" x14ac:dyDescent="0.2">
      <c r="B32" t="s">
        <v>117</v>
      </c>
      <c r="C32">
        <v>30</v>
      </c>
      <c r="E32">
        <f t="shared" si="3"/>
        <v>0.03</v>
      </c>
      <c r="F32">
        <f t="shared" si="4"/>
        <v>0.65999999999999992</v>
      </c>
      <c r="G32" s="11">
        <f t="shared" si="2"/>
        <v>131.99999999999997</v>
      </c>
      <c r="H32" s="4">
        <v>0</v>
      </c>
      <c r="I32" s="16"/>
      <c r="J32" s="14"/>
      <c r="K32" s="14"/>
      <c r="O32" s="3"/>
      <c r="P32" s="3"/>
    </row>
    <row r="33" spans="2:16" x14ac:dyDescent="0.2">
      <c r="B33" t="s">
        <v>133</v>
      </c>
      <c r="E33">
        <f t="shared" si="3"/>
        <v>0</v>
      </c>
      <c r="F33">
        <f t="shared" si="4"/>
        <v>0</v>
      </c>
      <c r="G33" s="11">
        <f t="shared" si="2"/>
        <v>0</v>
      </c>
      <c r="H33" s="4">
        <v>0</v>
      </c>
      <c r="I33" s="16"/>
      <c r="J33" s="14"/>
      <c r="K33" s="14"/>
      <c r="O33" s="3"/>
      <c r="P33" s="3"/>
    </row>
    <row r="34" spans="2:16" x14ac:dyDescent="0.2">
      <c r="B34" t="s">
        <v>134</v>
      </c>
      <c r="C34">
        <v>30</v>
      </c>
      <c r="E34">
        <f t="shared" si="3"/>
        <v>0.03</v>
      </c>
      <c r="F34">
        <f t="shared" si="4"/>
        <v>0.65999999999999992</v>
      </c>
      <c r="G34" s="11">
        <f t="shared" si="2"/>
        <v>131.99999999999997</v>
      </c>
      <c r="H34" s="4">
        <v>0</v>
      </c>
      <c r="I34" s="16"/>
      <c r="J34" s="14"/>
      <c r="K34" s="14"/>
      <c r="O34" s="3"/>
      <c r="P34" s="3"/>
    </row>
    <row r="35" spans="2:16" x14ac:dyDescent="0.2">
      <c r="B35" t="s">
        <v>119</v>
      </c>
      <c r="C35">
        <v>30</v>
      </c>
      <c r="E35">
        <f t="shared" si="3"/>
        <v>0.03</v>
      </c>
      <c r="F35">
        <f t="shared" si="4"/>
        <v>0.65999999999999992</v>
      </c>
      <c r="G35" s="11">
        <f t="shared" si="2"/>
        <v>131.99999999999997</v>
      </c>
      <c r="H35" s="4">
        <v>0</v>
      </c>
      <c r="I35" s="16"/>
      <c r="J35" s="14"/>
      <c r="K35" s="14"/>
      <c r="O35" s="3"/>
      <c r="P35" s="3"/>
    </row>
    <row r="36" spans="2:16" x14ac:dyDescent="0.2">
      <c r="B36" t="s">
        <v>120</v>
      </c>
      <c r="C36">
        <v>30</v>
      </c>
      <c r="E36">
        <f t="shared" si="3"/>
        <v>0.03</v>
      </c>
      <c r="F36">
        <f t="shared" si="4"/>
        <v>0.65999999999999992</v>
      </c>
      <c r="G36" s="11">
        <f t="shared" si="2"/>
        <v>131.99999999999997</v>
      </c>
      <c r="H36" s="4">
        <v>0</v>
      </c>
      <c r="I36" s="16"/>
      <c r="J36" s="14"/>
      <c r="K36" s="14"/>
      <c r="O36" s="3"/>
      <c r="P36" s="3"/>
    </row>
    <row r="37" spans="2:16" x14ac:dyDescent="0.2">
      <c r="B37" t="s">
        <v>30</v>
      </c>
      <c r="C37">
        <v>30</v>
      </c>
      <c r="E37">
        <f t="shared" si="3"/>
        <v>0.03</v>
      </c>
      <c r="F37">
        <f t="shared" si="4"/>
        <v>0.65999999999999992</v>
      </c>
      <c r="G37" s="11">
        <f t="shared" si="2"/>
        <v>131.99999999999997</v>
      </c>
      <c r="H37" s="4">
        <v>0</v>
      </c>
      <c r="I37" s="16"/>
      <c r="J37" s="14"/>
      <c r="K37" s="14"/>
      <c r="O37" s="3"/>
      <c r="P37" s="3"/>
    </row>
    <row r="38" spans="2:16" x14ac:dyDescent="0.2">
      <c r="B38" t="s">
        <v>20</v>
      </c>
      <c r="C38">
        <v>30</v>
      </c>
      <c r="E38">
        <f t="shared" si="3"/>
        <v>0.03</v>
      </c>
      <c r="F38">
        <f t="shared" si="4"/>
        <v>0.65999999999999992</v>
      </c>
      <c r="G38" s="11">
        <f t="shared" si="2"/>
        <v>131.99999999999997</v>
      </c>
      <c r="H38" s="4">
        <v>40</v>
      </c>
      <c r="I38" s="16"/>
      <c r="J38" s="14"/>
      <c r="K38" s="14"/>
      <c r="O38" s="3"/>
      <c r="P38" s="3"/>
    </row>
    <row r="39" spans="2:16" x14ac:dyDescent="0.2">
      <c r="B39" t="s">
        <v>6</v>
      </c>
      <c r="C39">
        <v>0.05</v>
      </c>
      <c r="E39">
        <f t="shared" si="3"/>
        <v>5.0000000000000002E-5</v>
      </c>
      <c r="F39">
        <f t="shared" si="4"/>
        <v>1.1000000000000001E-3</v>
      </c>
      <c r="G39" s="11">
        <f t="shared" si="2"/>
        <v>0.22</v>
      </c>
      <c r="H39" s="4">
        <v>0</v>
      </c>
      <c r="I39" s="16"/>
      <c r="J39" s="14"/>
      <c r="K39" s="14"/>
      <c r="O39" s="3"/>
      <c r="P39" s="3"/>
    </row>
    <row r="40" spans="2:16" x14ac:dyDescent="0.2">
      <c r="B40" t="s">
        <v>74</v>
      </c>
      <c r="C40">
        <v>1</v>
      </c>
      <c r="E40">
        <f t="shared" si="3"/>
        <v>1E-3</v>
      </c>
      <c r="F40">
        <f t="shared" si="4"/>
        <v>2.1999999999999999E-2</v>
      </c>
      <c r="G40" s="11">
        <f t="shared" si="2"/>
        <v>4.3999999999999995</v>
      </c>
      <c r="H40" s="4">
        <v>0</v>
      </c>
      <c r="I40" s="16"/>
      <c r="J40" s="14"/>
      <c r="K40" s="14"/>
      <c r="O40" s="3"/>
      <c r="P40" s="3"/>
    </row>
    <row r="41" spans="2:16" x14ac:dyDescent="0.2">
      <c r="B41" t="s">
        <v>73</v>
      </c>
      <c r="C41">
        <v>100</v>
      </c>
      <c r="E41">
        <f t="shared" si="3"/>
        <v>0.1</v>
      </c>
      <c r="F41">
        <f t="shared" si="4"/>
        <v>2.2000000000000002</v>
      </c>
      <c r="G41" s="11">
        <f t="shared" si="2"/>
        <v>440.00000000000006</v>
      </c>
      <c r="H41" s="4">
        <f>STOCK!C40</f>
        <v>0</v>
      </c>
      <c r="I41" s="16"/>
      <c r="J41" s="14"/>
      <c r="K41" s="14"/>
      <c r="O41" s="3"/>
      <c r="P41" s="3"/>
    </row>
    <row r="42" spans="2:16" x14ac:dyDescent="0.2">
      <c r="B42" t="s">
        <v>75</v>
      </c>
      <c r="C42">
        <v>20</v>
      </c>
      <c r="D42" t="s">
        <v>7</v>
      </c>
      <c r="E42">
        <f t="shared" si="3"/>
        <v>0.02</v>
      </c>
      <c r="F42">
        <f t="shared" si="4"/>
        <v>0.44</v>
      </c>
      <c r="G42" s="11">
        <f t="shared" si="2"/>
        <v>88</v>
      </c>
      <c r="H42" s="4">
        <v>0</v>
      </c>
      <c r="I42" s="16"/>
      <c r="J42" s="14"/>
      <c r="K42" s="14"/>
      <c r="O42" s="3"/>
      <c r="P42" s="3"/>
    </row>
    <row r="43" spans="2:16" x14ac:dyDescent="0.2">
      <c r="B43" t="s">
        <v>29</v>
      </c>
      <c r="C43">
        <v>50</v>
      </c>
      <c r="E43">
        <f t="shared" si="3"/>
        <v>0.05</v>
      </c>
      <c r="F43">
        <f t="shared" si="4"/>
        <v>1.1000000000000001</v>
      </c>
      <c r="G43" s="11">
        <f t="shared" si="2"/>
        <v>220.00000000000003</v>
      </c>
      <c r="H43" s="4">
        <v>0</v>
      </c>
      <c r="I43" s="16"/>
      <c r="J43" s="14"/>
      <c r="K43" s="14"/>
      <c r="O43" s="3"/>
      <c r="P43" s="3"/>
    </row>
    <row r="44" spans="2:16" x14ac:dyDescent="0.2">
      <c r="B44" t="s">
        <v>125</v>
      </c>
      <c r="C44">
        <v>30</v>
      </c>
      <c r="E44">
        <f t="shared" si="3"/>
        <v>0.03</v>
      </c>
      <c r="F44">
        <f t="shared" si="4"/>
        <v>0.65999999999999992</v>
      </c>
      <c r="G44" s="11">
        <f t="shared" si="2"/>
        <v>131.99999999999997</v>
      </c>
      <c r="H44" s="4">
        <f>STOCK!C43</f>
        <v>0</v>
      </c>
      <c r="I44" s="16"/>
      <c r="J44" s="14"/>
      <c r="K44" s="14"/>
      <c r="O44" s="3"/>
      <c r="P44" s="3"/>
    </row>
    <row r="45" spans="2:16" x14ac:dyDescent="0.2">
      <c r="B45" t="s">
        <v>126</v>
      </c>
      <c r="C45">
        <v>1</v>
      </c>
      <c r="E45">
        <f t="shared" si="3"/>
        <v>1E-3</v>
      </c>
      <c r="F45">
        <f t="shared" si="4"/>
        <v>2.1999999999999999E-2</v>
      </c>
      <c r="G45" s="11">
        <f t="shared" si="2"/>
        <v>4.3999999999999995</v>
      </c>
      <c r="H45" s="4">
        <f>STOCK!C44</f>
        <v>0</v>
      </c>
      <c r="I45" s="16"/>
      <c r="J45" s="14"/>
      <c r="K45" s="14"/>
      <c r="O45" s="3"/>
      <c r="P45" s="3"/>
    </row>
    <row r="46" spans="2:16" x14ac:dyDescent="0.2">
      <c r="B46" t="s">
        <v>27</v>
      </c>
      <c r="E46">
        <f t="shared" si="3"/>
        <v>0</v>
      </c>
      <c r="F46">
        <f t="shared" si="4"/>
        <v>0</v>
      </c>
      <c r="G46" s="11">
        <f t="shared" si="2"/>
        <v>0</v>
      </c>
      <c r="H46" s="4">
        <f>STOCK!C45</f>
        <v>0</v>
      </c>
      <c r="I46" s="16"/>
      <c r="J46" s="14"/>
      <c r="K46" s="14"/>
      <c r="O46" s="3"/>
      <c r="P46" s="3"/>
    </row>
    <row r="47" spans="2:16" x14ac:dyDescent="0.2">
      <c r="B47" t="s">
        <v>28</v>
      </c>
      <c r="C47">
        <v>10</v>
      </c>
      <c r="E47">
        <f t="shared" si="3"/>
        <v>0.01</v>
      </c>
      <c r="F47">
        <f t="shared" si="4"/>
        <v>0.22</v>
      </c>
      <c r="G47" s="11">
        <f t="shared" si="2"/>
        <v>44</v>
      </c>
      <c r="H47" s="4">
        <v>0</v>
      </c>
      <c r="I47" s="16"/>
      <c r="J47" s="14"/>
      <c r="K47" s="14"/>
      <c r="O47" s="3"/>
      <c r="P47" s="3"/>
    </row>
    <row r="48" spans="2:16" x14ac:dyDescent="0.2">
      <c r="B48" t="s">
        <v>26</v>
      </c>
      <c r="H48" s="4">
        <f>STOCK!C47</f>
        <v>0</v>
      </c>
      <c r="I48" s="16"/>
      <c r="J48" s="14"/>
      <c r="K48" s="14"/>
      <c r="O48" s="3"/>
      <c r="P48" s="3"/>
    </row>
    <row r="49" spans="2:16" x14ac:dyDescent="0.2">
      <c r="B49" t="s">
        <v>23</v>
      </c>
      <c r="H49" s="4">
        <v>0</v>
      </c>
      <c r="I49" s="16"/>
      <c r="J49" s="14"/>
      <c r="K49" s="14"/>
      <c r="O49" s="3"/>
      <c r="P49" s="3"/>
    </row>
    <row r="50" spans="2:16" x14ac:dyDescent="0.2">
      <c r="B50" t="s">
        <v>22</v>
      </c>
      <c r="H50" s="4">
        <f>STOCK!C49</f>
        <v>0</v>
      </c>
      <c r="I50" s="16"/>
      <c r="J50" s="14"/>
      <c r="K50" s="14"/>
      <c r="O50" s="3"/>
      <c r="P50" s="3"/>
    </row>
    <row r="51" spans="2:16" x14ac:dyDescent="0.2">
      <c r="B51" t="s">
        <v>24</v>
      </c>
      <c r="H51" s="4">
        <f>STOCK!C50</f>
        <v>0</v>
      </c>
      <c r="I51" s="16"/>
      <c r="J51" s="14"/>
      <c r="K51" s="14"/>
      <c r="O51" s="3"/>
      <c r="P51" s="3"/>
    </row>
    <row r="52" spans="2:16" x14ac:dyDescent="0.2">
      <c r="B52" t="s">
        <v>25</v>
      </c>
      <c r="H52" s="4">
        <f>STOCK!C51</f>
        <v>0</v>
      </c>
      <c r="I52" s="16"/>
      <c r="J52" s="14"/>
      <c r="K52" s="14"/>
      <c r="O52" s="3"/>
      <c r="P52" s="3"/>
    </row>
    <row r="53" spans="2:16" x14ac:dyDescent="0.2">
      <c r="B53" t="s">
        <v>34</v>
      </c>
      <c r="H53" s="4">
        <v>3</v>
      </c>
      <c r="I53" s="16"/>
      <c r="J53" s="14"/>
      <c r="K53" s="14"/>
      <c r="O53" s="3"/>
      <c r="P53" s="3"/>
    </row>
    <row r="54" spans="2:16" x14ac:dyDescent="0.2">
      <c r="B54" t="s">
        <v>33</v>
      </c>
      <c r="H54" s="4">
        <f>STOCK!C53</f>
        <v>0</v>
      </c>
      <c r="I54" s="16"/>
      <c r="J54" s="14"/>
      <c r="K54" s="14"/>
      <c r="O54" s="3"/>
      <c r="P54" s="3"/>
    </row>
    <row r="55" spans="2:16" x14ac:dyDescent="0.2">
      <c r="B55" t="s">
        <v>5</v>
      </c>
      <c r="H55" s="4">
        <v>900</v>
      </c>
      <c r="I55" s="16"/>
      <c r="J55" s="14"/>
      <c r="K55" s="14"/>
      <c r="O55" s="3"/>
      <c r="P55" s="3"/>
    </row>
    <row r="56" spans="2:16" x14ac:dyDescent="0.2">
      <c r="B56" t="s">
        <v>138</v>
      </c>
      <c r="H56" s="4">
        <v>2</v>
      </c>
      <c r="I56" s="16"/>
      <c r="J56" s="14"/>
      <c r="K56" s="14"/>
      <c r="O56" s="3"/>
      <c r="P56" s="3"/>
    </row>
    <row r="57" spans="2:16" x14ac:dyDescent="0.2">
      <c r="B57" t="s">
        <v>127</v>
      </c>
      <c r="H57" s="4">
        <f>STOCK!C56</f>
        <v>0</v>
      </c>
      <c r="I57" s="16"/>
      <c r="J57" s="14"/>
      <c r="K57" s="14"/>
      <c r="O57" s="3"/>
      <c r="P57" s="3"/>
    </row>
    <row r="58" spans="2:16" x14ac:dyDescent="0.2">
      <c r="B58" t="s">
        <v>8</v>
      </c>
      <c r="H58" s="4">
        <f>STOCK!C57</f>
        <v>0</v>
      </c>
      <c r="I58" s="16"/>
      <c r="J58" s="14"/>
      <c r="K58" s="14"/>
      <c r="O58" s="3"/>
      <c r="P58" s="3"/>
    </row>
    <row r="59" spans="2:16" x14ac:dyDescent="0.2">
      <c r="B59" t="s">
        <v>16</v>
      </c>
      <c r="C59" t="s">
        <v>182</v>
      </c>
      <c r="H59" s="4">
        <f>STOCK!C58</f>
        <v>0</v>
      </c>
      <c r="I59" s="16"/>
      <c r="J59" s="14"/>
      <c r="K59" s="14"/>
      <c r="O59" s="3"/>
      <c r="P59" s="3"/>
    </row>
    <row r="60" spans="2:16" x14ac:dyDescent="0.2">
      <c r="B60" t="s">
        <v>35</v>
      </c>
      <c r="H60" s="4">
        <v>0</v>
      </c>
      <c r="I60" s="16"/>
      <c r="J60" s="14"/>
      <c r="K60" s="14"/>
      <c r="O60" s="3"/>
      <c r="P60" s="3"/>
    </row>
    <row r="61" spans="2:16" x14ac:dyDescent="0.2">
      <c r="B61" t="s">
        <v>136</v>
      </c>
      <c r="H61" s="4">
        <f>STOCK!C60</f>
        <v>0</v>
      </c>
      <c r="I61" s="16"/>
      <c r="J61" s="14"/>
      <c r="K61" s="14"/>
      <c r="O61" s="3"/>
      <c r="P61" s="3"/>
    </row>
    <row r="62" spans="2:16" x14ac:dyDescent="0.2">
      <c r="B62" t="s">
        <v>137</v>
      </c>
      <c r="H62" s="4">
        <v>0</v>
      </c>
      <c r="I62" s="16"/>
      <c r="J62" s="14"/>
      <c r="K62" s="14"/>
      <c r="O62" s="3"/>
      <c r="P62" s="3"/>
    </row>
    <row r="63" spans="2:16" x14ac:dyDescent="0.2">
      <c r="B63" t="s">
        <v>139</v>
      </c>
      <c r="H63" s="4">
        <f>STOCK!C62</f>
        <v>0</v>
      </c>
      <c r="I63" s="16"/>
      <c r="J63" s="14"/>
      <c r="K63" s="14"/>
      <c r="O63" s="3"/>
      <c r="P63" s="3"/>
    </row>
    <row r="64" spans="2:16" x14ac:dyDescent="0.2">
      <c r="B64" t="s">
        <v>18</v>
      </c>
      <c r="H64" s="4">
        <v>0</v>
      </c>
      <c r="I64" s="16"/>
      <c r="J64" s="14"/>
      <c r="K64" s="14"/>
      <c r="O64" s="3"/>
      <c r="P64" s="3"/>
    </row>
    <row r="65" spans="2:16" x14ac:dyDescent="0.2">
      <c r="B65" t="s">
        <v>76</v>
      </c>
      <c r="H65" s="4">
        <v>0</v>
      </c>
      <c r="I65" s="16"/>
      <c r="J65" s="14"/>
      <c r="K65" s="14"/>
      <c r="O65" s="3"/>
      <c r="P65" s="3"/>
    </row>
    <row r="66" spans="2:16" x14ac:dyDescent="0.2">
      <c r="B66" t="s">
        <v>122</v>
      </c>
      <c r="H66" s="4">
        <f>STOCK!C65</f>
        <v>0</v>
      </c>
      <c r="I66" s="16"/>
      <c r="J66" s="14"/>
      <c r="K66" s="14"/>
      <c r="O66" s="3"/>
      <c r="P66" s="3"/>
    </row>
    <row r="67" spans="2:16" x14ac:dyDescent="0.2">
      <c r="B67" t="s">
        <v>21</v>
      </c>
      <c r="H67" s="4">
        <f>STOCK!C66</f>
        <v>0</v>
      </c>
      <c r="I67" s="16"/>
      <c r="J67" s="14"/>
      <c r="K67" s="14"/>
      <c r="O67" s="3"/>
      <c r="P67" s="3"/>
    </row>
    <row r="68" spans="2:16" x14ac:dyDescent="0.2">
      <c r="I68" s="10">
        <f>G68-H68</f>
        <v>0</v>
      </c>
    </row>
    <row r="69" spans="2:16" x14ac:dyDescent="0.2">
      <c r="I69" s="10">
        <f>G69-H69</f>
        <v>0</v>
      </c>
    </row>
    <row r="70" spans="2:16" x14ac:dyDescent="0.2">
      <c r="I70" s="10">
        <f>G70-H70</f>
        <v>0</v>
      </c>
    </row>
    <row r="71" spans="2:16" x14ac:dyDescent="0.2">
      <c r="B71" s="3"/>
      <c r="I71" s="10">
        <f>G71-H71</f>
        <v>0</v>
      </c>
    </row>
    <row r="72" spans="2:16" x14ac:dyDescent="0.2">
      <c r="I72" s="10">
        <f>G72-H72</f>
        <v>0</v>
      </c>
      <c r="J72" t="s">
        <v>162</v>
      </c>
    </row>
    <row r="73" spans="2:16" x14ac:dyDescent="0.2">
      <c r="B73" t="s">
        <v>156</v>
      </c>
      <c r="F73">
        <v>0</v>
      </c>
      <c r="G73" t="s">
        <v>94</v>
      </c>
      <c r="H73">
        <v>122</v>
      </c>
      <c r="I73" s="3">
        <v>1</v>
      </c>
      <c r="J73" t="s">
        <v>90</v>
      </c>
      <c r="K73" s="3">
        <v>0</v>
      </c>
      <c r="L73">
        <v>0</v>
      </c>
    </row>
    <row r="74" spans="2:16" x14ac:dyDescent="0.2">
      <c r="B74" t="s">
        <v>157</v>
      </c>
      <c r="F74">
        <v>10</v>
      </c>
      <c r="G74" t="s">
        <v>140</v>
      </c>
      <c r="H74">
        <v>25</v>
      </c>
      <c r="I74" s="3">
        <v>1</v>
      </c>
      <c r="K74" s="3">
        <v>0</v>
      </c>
      <c r="L74">
        <v>0</v>
      </c>
    </row>
    <row r="75" spans="2:16" x14ac:dyDescent="0.2">
      <c r="B75" t="s">
        <v>155</v>
      </c>
      <c r="F75">
        <v>500</v>
      </c>
      <c r="G75" t="s">
        <v>141</v>
      </c>
      <c r="H75">
        <v>10</v>
      </c>
      <c r="I75" s="3">
        <v>20000</v>
      </c>
      <c r="J75" t="s">
        <v>142</v>
      </c>
      <c r="K75" s="3">
        <v>0</v>
      </c>
      <c r="L75">
        <v>0</v>
      </c>
    </row>
    <row r="76" spans="2:16" x14ac:dyDescent="0.2">
      <c r="B76" t="s">
        <v>147</v>
      </c>
      <c r="F76">
        <v>2</v>
      </c>
      <c r="G76" t="s">
        <v>144</v>
      </c>
      <c r="H76">
        <v>10</v>
      </c>
      <c r="I76" s="3">
        <v>0</v>
      </c>
      <c r="J76" t="s">
        <v>142</v>
      </c>
      <c r="K76" s="3">
        <v>0</v>
      </c>
      <c r="L76">
        <v>0</v>
      </c>
    </row>
    <row r="77" spans="2:16" x14ac:dyDescent="0.2">
      <c r="B77" t="s">
        <v>140</v>
      </c>
      <c r="F77">
        <v>4</v>
      </c>
      <c r="G77" t="s">
        <v>82</v>
      </c>
      <c r="H77">
        <v>92</v>
      </c>
      <c r="I77" s="3">
        <v>4</v>
      </c>
      <c r="J77" t="s">
        <v>142</v>
      </c>
      <c r="K77" s="3">
        <v>0</v>
      </c>
      <c r="L77">
        <v>0</v>
      </c>
    </row>
    <row r="78" spans="2:16" x14ac:dyDescent="0.2">
      <c r="B78" t="s">
        <v>94</v>
      </c>
      <c r="F78">
        <v>4</v>
      </c>
      <c r="G78" t="s">
        <v>81</v>
      </c>
      <c r="H78">
        <v>173</v>
      </c>
      <c r="I78" s="3">
        <v>1</v>
      </c>
      <c r="J78" t="s">
        <v>143</v>
      </c>
      <c r="K78" s="3">
        <v>0</v>
      </c>
      <c r="L78">
        <v>5</v>
      </c>
    </row>
    <row r="79" spans="2:16" x14ac:dyDescent="0.2">
      <c r="B79" t="s">
        <v>145</v>
      </c>
      <c r="F79">
        <v>2</v>
      </c>
      <c r="G79" t="s">
        <v>80</v>
      </c>
      <c r="H79">
        <v>0</v>
      </c>
      <c r="I79" s="3">
        <v>2</v>
      </c>
      <c r="J79" t="s">
        <v>121</v>
      </c>
      <c r="K79" s="3">
        <v>0</v>
      </c>
      <c r="L79">
        <v>0</v>
      </c>
    </row>
    <row r="80" spans="2:16" x14ac:dyDescent="0.2">
      <c r="B80" t="s">
        <v>93</v>
      </c>
      <c r="F80">
        <v>1</v>
      </c>
      <c r="G80" t="s">
        <v>151</v>
      </c>
      <c r="H80">
        <v>10</v>
      </c>
      <c r="I80" s="3">
        <v>6</v>
      </c>
      <c r="J80" t="s">
        <v>154</v>
      </c>
      <c r="K80" s="3">
        <v>0</v>
      </c>
      <c r="L80">
        <v>0</v>
      </c>
    </row>
    <row r="81" spans="2:12" x14ac:dyDescent="0.2">
      <c r="B81" t="s">
        <v>92</v>
      </c>
      <c r="F81">
        <v>18</v>
      </c>
      <c r="G81" t="s">
        <v>84</v>
      </c>
      <c r="H81">
        <v>55</v>
      </c>
      <c r="I81" s="3">
        <v>0</v>
      </c>
      <c r="J81" t="s">
        <v>154</v>
      </c>
      <c r="K81" s="3">
        <v>0</v>
      </c>
      <c r="L81">
        <v>0</v>
      </c>
    </row>
    <row r="82" spans="2:12" x14ac:dyDescent="0.2">
      <c r="B82" t="s">
        <v>141</v>
      </c>
      <c r="F82">
        <v>5</v>
      </c>
      <c r="G82" t="s">
        <v>85</v>
      </c>
      <c r="H82">
        <v>136</v>
      </c>
      <c r="I82" s="3">
        <v>6</v>
      </c>
      <c r="J82" t="s">
        <v>154</v>
      </c>
      <c r="K82" s="3">
        <v>0</v>
      </c>
      <c r="L82">
        <v>4</v>
      </c>
    </row>
    <row r="83" spans="2:12" x14ac:dyDescent="0.2">
      <c r="B83" t="s">
        <v>82</v>
      </c>
      <c r="F83">
        <v>0</v>
      </c>
      <c r="G83" t="s">
        <v>92</v>
      </c>
      <c r="H83">
        <v>15</v>
      </c>
      <c r="I83" s="3">
        <v>0</v>
      </c>
      <c r="J83" t="s">
        <v>154</v>
      </c>
      <c r="K83" s="3">
        <v>0</v>
      </c>
      <c r="L83">
        <v>0</v>
      </c>
    </row>
    <row r="84" spans="2:12" x14ac:dyDescent="0.2">
      <c r="B84" t="s">
        <v>144</v>
      </c>
      <c r="F84">
        <v>4</v>
      </c>
      <c r="G84" t="s">
        <v>93</v>
      </c>
      <c r="H84">
        <v>0</v>
      </c>
      <c r="I84" s="3">
        <v>4</v>
      </c>
      <c r="J84" t="s">
        <v>154</v>
      </c>
      <c r="K84" s="3">
        <v>0</v>
      </c>
      <c r="L84">
        <v>10</v>
      </c>
    </row>
    <row r="85" spans="2:12" x14ac:dyDescent="0.2">
      <c r="B85" t="s">
        <v>152</v>
      </c>
      <c r="F85">
        <v>0</v>
      </c>
      <c r="G85" t="s">
        <v>145</v>
      </c>
      <c r="H85">
        <v>72</v>
      </c>
      <c r="I85" s="3">
        <v>0</v>
      </c>
      <c r="J85" t="s">
        <v>146</v>
      </c>
      <c r="K85" s="3">
        <v>0</v>
      </c>
      <c r="L85">
        <v>0</v>
      </c>
    </row>
    <row r="86" spans="2:12" x14ac:dyDescent="0.2">
      <c r="B86" t="s">
        <v>81</v>
      </c>
      <c r="F86">
        <v>15</v>
      </c>
      <c r="G86" t="s">
        <v>147</v>
      </c>
      <c r="H86">
        <v>5</v>
      </c>
      <c r="I86" s="3">
        <v>0</v>
      </c>
      <c r="J86" t="s">
        <v>142</v>
      </c>
      <c r="K86" s="3">
        <v>0</v>
      </c>
      <c r="L86">
        <v>0</v>
      </c>
    </row>
    <row r="87" spans="2:12" x14ac:dyDescent="0.2">
      <c r="B87" t="s">
        <v>80</v>
      </c>
      <c r="F87">
        <v>1</v>
      </c>
      <c r="G87" t="s">
        <v>148</v>
      </c>
      <c r="H87">
        <v>59</v>
      </c>
      <c r="I87" s="3">
        <v>2</v>
      </c>
      <c r="J87" t="s">
        <v>146</v>
      </c>
      <c r="K87" s="3">
        <v>0</v>
      </c>
      <c r="L87">
        <v>2</v>
      </c>
    </row>
    <row r="88" spans="2:12" x14ac:dyDescent="0.2">
      <c r="B88" t="s">
        <v>151</v>
      </c>
      <c r="F88">
        <v>1</v>
      </c>
      <c r="G88" t="s">
        <v>149</v>
      </c>
      <c r="H88">
        <v>40</v>
      </c>
      <c r="I88" s="3">
        <v>0</v>
      </c>
      <c r="J88" t="s">
        <v>121</v>
      </c>
      <c r="K88" s="3">
        <v>0</v>
      </c>
      <c r="L88">
        <v>0</v>
      </c>
    </row>
    <row r="89" spans="2:12" x14ac:dyDescent="0.2">
      <c r="B89" t="s">
        <v>149</v>
      </c>
      <c r="F89">
        <v>1</v>
      </c>
      <c r="G89" t="s">
        <v>150</v>
      </c>
      <c r="H89">
        <v>9</v>
      </c>
      <c r="I89" s="3">
        <v>0</v>
      </c>
      <c r="J89" t="s">
        <v>154</v>
      </c>
      <c r="K89" s="3">
        <v>0</v>
      </c>
      <c r="L89">
        <v>0</v>
      </c>
    </row>
    <row r="90" spans="2:12" x14ac:dyDescent="0.2">
      <c r="B90" t="s">
        <v>148</v>
      </c>
      <c r="F90">
        <v>1</v>
      </c>
      <c r="G90" t="s">
        <v>152</v>
      </c>
      <c r="H90">
        <v>0</v>
      </c>
      <c r="I90" s="3">
        <v>2</v>
      </c>
      <c r="J90" t="s">
        <v>142</v>
      </c>
      <c r="K90" s="3">
        <v>0</v>
      </c>
      <c r="L90">
        <v>0</v>
      </c>
    </row>
    <row r="91" spans="2:12" x14ac:dyDescent="0.2">
      <c r="B91" t="s">
        <v>150</v>
      </c>
      <c r="F91">
        <v>2</v>
      </c>
      <c r="G91" t="s">
        <v>155</v>
      </c>
      <c r="H91">
        <v>4500</v>
      </c>
      <c r="I91" s="3">
        <v>0</v>
      </c>
      <c r="J91" t="s">
        <v>154</v>
      </c>
      <c r="K91" s="3">
        <v>0</v>
      </c>
      <c r="L91">
        <v>5</v>
      </c>
    </row>
    <row r="92" spans="2:12" x14ac:dyDescent="0.2">
      <c r="B92" t="s">
        <v>84</v>
      </c>
      <c r="F92">
        <v>50</v>
      </c>
      <c r="G92" t="s">
        <v>156</v>
      </c>
      <c r="H92">
        <v>2640</v>
      </c>
      <c r="I92" s="3">
        <v>0</v>
      </c>
      <c r="J92" t="s">
        <v>154</v>
      </c>
      <c r="K92" s="3">
        <v>0</v>
      </c>
      <c r="L92">
        <v>0</v>
      </c>
    </row>
    <row r="93" spans="2:12" x14ac:dyDescent="0.2">
      <c r="B93" t="s">
        <v>85</v>
      </c>
      <c r="F93">
        <v>4</v>
      </c>
      <c r="G93" t="s">
        <v>157</v>
      </c>
      <c r="H93">
        <v>4720</v>
      </c>
      <c r="I93" s="3">
        <v>0</v>
      </c>
      <c r="J93" t="s">
        <v>154</v>
      </c>
      <c r="K93" s="3">
        <v>0</v>
      </c>
      <c r="L93">
        <v>2</v>
      </c>
    </row>
    <row r="94" spans="2:12" x14ac:dyDescent="0.2">
      <c r="B94" t="s">
        <v>171</v>
      </c>
      <c r="F94">
        <v>1</v>
      </c>
      <c r="I94" s="3">
        <v>0</v>
      </c>
      <c r="K94" s="3">
        <v>0</v>
      </c>
      <c r="L94">
        <v>2</v>
      </c>
    </row>
    <row r="95" spans="2:12" x14ac:dyDescent="0.2">
      <c r="B95" t="s">
        <v>172</v>
      </c>
      <c r="F95">
        <v>1</v>
      </c>
      <c r="I95" s="3">
        <v>2</v>
      </c>
      <c r="K95" s="3">
        <v>0</v>
      </c>
      <c r="L95">
        <v>0</v>
      </c>
    </row>
    <row r="96" spans="2:12" x14ac:dyDescent="0.2">
      <c r="B96" t="s">
        <v>173</v>
      </c>
      <c r="I96" s="3">
        <v>0</v>
      </c>
      <c r="J96" s="3">
        <v>0</v>
      </c>
      <c r="K96" s="3">
        <v>0</v>
      </c>
      <c r="L96">
        <v>0</v>
      </c>
    </row>
  </sheetData>
  <mergeCells count="1">
    <mergeCell ref="O4:P4"/>
  </mergeCells>
  <phoneticPr fontId="2" type="noConversion"/>
  <pageMargins left="0.16" right="0.78740157480314965" top="0.16" bottom="0.16" header="0" footer="0"/>
  <pageSetup orientation="portrait" horizontalDpi="4294967293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4:B39"/>
  <sheetViews>
    <sheetView workbookViewId="0">
      <selection activeCell="B4" sqref="B4"/>
    </sheetView>
  </sheetViews>
  <sheetFormatPr baseColWidth="10" defaultRowHeight="12.75" x14ac:dyDescent="0.2"/>
  <cols>
    <col min="1" max="1" width="22.7109375" customWidth="1"/>
  </cols>
  <sheetData>
    <row r="4" spans="1:2" x14ac:dyDescent="0.2">
      <c r="A4" t="s">
        <v>166</v>
      </c>
      <c r="B4">
        <v>2</v>
      </c>
    </row>
    <row r="5" spans="1:2" x14ac:dyDescent="0.2">
      <c r="A5" t="s">
        <v>1</v>
      </c>
      <c r="B5">
        <v>60</v>
      </c>
    </row>
    <row r="6" spans="1:2" x14ac:dyDescent="0.2">
      <c r="A6" t="s">
        <v>17</v>
      </c>
      <c r="B6">
        <v>1</v>
      </c>
    </row>
    <row r="7" spans="1:2" x14ac:dyDescent="0.2">
      <c r="A7" t="s">
        <v>31</v>
      </c>
      <c r="B7">
        <v>0</v>
      </c>
    </row>
    <row r="8" spans="1:2" x14ac:dyDescent="0.2">
      <c r="A8" t="s">
        <v>19</v>
      </c>
      <c r="B8">
        <v>5</v>
      </c>
    </row>
    <row r="9" spans="1:2" x14ac:dyDescent="0.2">
      <c r="A9" t="s">
        <v>4</v>
      </c>
      <c r="B9">
        <v>1</v>
      </c>
    </row>
    <row r="10" spans="1:2" x14ac:dyDescent="0.2">
      <c r="A10" t="s">
        <v>32</v>
      </c>
      <c r="B10">
        <v>0</v>
      </c>
    </row>
    <row r="11" spans="1:2" x14ac:dyDescent="0.2">
      <c r="A11" t="s">
        <v>168</v>
      </c>
      <c r="B11">
        <v>20</v>
      </c>
    </row>
    <row r="12" spans="1:2" x14ac:dyDescent="0.2">
      <c r="A12" t="s">
        <v>10</v>
      </c>
    </row>
    <row r="13" spans="1:2" x14ac:dyDescent="0.2">
      <c r="A13" t="s">
        <v>89</v>
      </c>
      <c r="B13">
        <v>1</v>
      </c>
    </row>
    <row r="14" spans="1:2" x14ac:dyDescent="0.2">
      <c r="A14" t="s">
        <v>30</v>
      </c>
      <c r="B14">
        <v>0</v>
      </c>
    </row>
    <row r="15" spans="1:2" x14ac:dyDescent="0.2">
      <c r="A15" t="s">
        <v>20</v>
      </c>
      <c r="B15">
        <v>0</v>
      </c>
    </row>
    <row r="16" spans="1:2" x14ac:dyDescent="0.2">
      <c r="A16" t="s">
        <v>6</v>
      </c>
      <c r="B16">
        <v>20</v>
      </c>
    </row>
    <row r="17" spans="1:2" x14ac:dyDescent="0.2">
      <c r="A17" t="s">
        <v>74</v>
      </c>
      <c r="B17">
        <v>0</v>
      </c>
    </row>
    <row r="18" spans="1:2" x14ac:dyDescent="0.2">
      <c r="A18" t="s">
        <v>73</v>
      </c>
      <c r="B18">
        <v>0</v>
      </c>
    </row>
    <row r="19" spans="1:2" x14ac:dyDescent="0.2">
      <c r="A19" t="s">
        <v>167</v>
      </c>
      <c r="B19">
        <v>10</v>
      </c>
    </row>
    <row r="20" spans="1:2" x14ac:dyDescent="0.2">
      <c r="A20" t="s">
        <v>23</v>
      </c>
      <c r="B20">
        <v>5</v>
      </c>
    </row>
    <row r="21" spans="1:2" x14ac:dyDescent="0.2">
      <c r="A21" t="s">
        <v>22</v>
      </c>
      <c r="B21">
        <v>5</v>
      </c>
    </row>
    <row r="22" spans="1:2" x14ac:dyDescent="0.2">
      <c r="A22" t="s">
        <v>24</v>
      </c>
      <c r="B22">
        <v>5</v>
      </c>
    </row>
    <row r="23" spans="1:2" x14ac:dyDescent="0.2">
      <c r="A23" t="s">
        <v>25</v>
      </c>
      <c r="B23">
        <v>5</v>
      </c>
    </row>
    <row r="24" spans="1:2" x14ac:dyDescent="0.2">
      <c r="A24" t="s">
        <v>127</v>
      </c>
      <c r="B24">
        <v>4</v>
      </c>
    </row>
    <row r="25" spans="1:2" x14ac:dyDescent="0.2">
      <c r="A25" t="s">
        <v>169</v>
      </c>
      <c r="B25">
        <v>2</v>
      </c>
    </row>
    <row r="26" spans="1:2" x14ac:dyDescent="0.2">
      <c r="A26" t="s">
        <v>8</v>
      </c>
      <c r="B26">
        <v>24</v>
      </c>
    </row>
    <row r="27" spans="1:2" x14ac:dyDescent="0.2">
      <c r="A27" t="s">
        <v>16</v>
      </c>
      <c r="B27">
        <v>0</v>
      </c>
    </row>
    <row r="28" spans="1:2" x14ac:dyDescent="0.2">
      <c r="A28" t="s">
        <v>165</v>
      </c>
      <c r="B28">
        <v>2</v>
      </c>
    </row>
    <row r="29" spans="1:2" x14ac:dyDescent="0.2">
      <c r="A29" t="s">
        <v>164</v>
      </c>
      <c r="B29">
        <v>10</v>
      </c>
    </row>
    <row r="30" spans="1:2" x14ac:dyDescent="0.2">
      <c r="A30" t="s">
        <v>18</v>
      </c>
      <c r="B30">
        <v>0</v>
      </c>
    </row>
    <row r="31" spans="1:2" x14ac:dyDescent="0.2">
      <c r="A31" t="s">
        <v>76</v>
      </c>
      <c r="B31">
        <v>20</v>
      </c>
    </row>
    <row r="32" spans="1:2" x14ac:dyDescent="0.2">
      <c r="A32" t="s">
        <v>21</v>
      </c>
      <c r="B32">
        <v>0</v>
      </c>
    </row>
    <row r="34" spans="1:2" x14ac:dyDescent="0.2">
      <c r="A34" t="s">
        <v>79</v>
      </c>
    </row>
    <row r="36" spans="1:2" x14ac:dyDescent="0.2">
      <c r="A36" t="s">
        <v>94</v>
      </c>
      <c r="B36">
        <v>0</v>
      </c>
    </row>
    <row r="37" spans="1:2" x14ac:dyDescent="0.2">
      <c r="A37" t="s">
        <v>86</v>
      </c>
      <c r="B37">
        <v>0</v>
      </c>
    </row>
    <row r="38" spans="1:2" x14ac:dyDescent="0.2">
      <c r="A38" t="s">
        <v>83</v>
      </c>
      <c r="B38">
        <v>2</v>
      </c>
    </row>
    <row r="39" spans="1:2" x14ac:dyDescent="0.2">
      <c r="A39" t="s">
        <v>93</v>
      </c>
      <c r="B39">
        <v>2</v>
      </c>
    </row>
  </sheetData>
  <phoneticPr fontId="2" type="noConversion"/>
  <pageMargins left="0.75" right="0.75" top="1" bottom="1" header="0" footer="0"/>
  <pageSetup orientation="portrait" horizontalDpi="4294967293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K61"/>
  <sheetViews>
    <sheetView tabSelected="1" workbookViewId="0">
      <selection activeCell="D5" sqref="D5"/>
    </sheetView>
  </sheetViews>
  <sheetFormatPr baseColWidth="10" defaultRowHeight="12.75" x14ac:dyDescent="0.2"/>
  <cols>
    <col min="1" max="1" width="5.140625" customWidth="1"/>
    <col min="2" max="2" width="18.28515625" customWidth="1"/>
    <col min="3" max="3" width="6.7109375" customWidth="1"/>
    <col min="4" max="4" width="5.5703125" customWidth="1"/>
    <col min="5" max="5" width="5.140625" customWidth="1"/>
    <col min="6" max="6" width="4.85546875" customWidth="1"/>
    <col min="7" max="7" width="9.5703125" customWidth="1"/>
    <col min="8" max="8" width="8.140625" customWidth="1"/>
    <col min="9" max="9" width="8.7109375" customWidth="1"/>
    <col min="10" max="10" width="11.5703125" customWidth="1"/>
    <col min="11" max="12" width="8.28515625" customWidth="1"/>
    <col min="14" max="14" width="8.7109375" customWidth="1"/>
    <col min="15" max="15" width="7.85546875" customWidth="1"/>
  </cols>
  <sheetData>
    <row r="2" spans="1:11" x14ac:dyDescent="0.2">
      <c r="B2" s="3" t="s">
        <v>71</v>
      </c>
    </row>
    <row r="3" spans="1:11" x14ac:dyDescent="0.2">
      <c r="C3" t="s">
        <v>72</v>
      </c>
      <c r="G3">
        <v>0</v>
      </c>
      <c r="H3">
        <v>86</v>
      </c>
      <c r="I3">
        <v>125</v>
      </c>
      <c r="J3">
        <v>22</v>
      </c>
      <c r="K3">
        <v>75</v>
      </c>
    </row>
    <row r="4" spans="1:11" x14ac:dyDescent="0.2">
      <c r="A4">
        <v>100</v>
      </c>
      <c r="C4" t="s">
        <v>88</v>
      </c>
      <c r="E4">
        <v>1</v>
      </c>
      <c r="G4" t="s">
        <v>177</v>
      </c>
      <c r="H4" t="s">
        <v>159</v>
      </c>
      <c r="I4" t="s">
        <v>202</v>
      </c>
      <c r="J4" t="s">
        <v>199</v>
      </c>
      <c r="K4" t="s">
        <v>198</v>
      </c>
    </row>
    <row r="5" spans="1:11" x14ac:dyDescent="0.2">
      <c r="A5">
        <v>6</v>
      </c>
      <c r="B5" t="s">
        <v>9</v>
      </c>
      <c r="C5">
        <v>50</v>
      </c>
      <c r="D5" t="s">
        <v>96</v>
      </c>
      <c r="E5">
        <f t="shared" ref="E5:E24" si="0">((C5*E$4)/1000)</f>
        <v>0.05</v>
      </c>
      <c r="F5" t="s">
        <v>97</v>
      </c>
      <c r="G5" s="21">
        <f>G$3*E5</f>
        <v>0</v>
      </c>
      <c r="H5" s="24">
        <v>4</v>
      </c>
      <c r="I5" s="24">
        <f>I$3*E5</f>
        <v>6.25</v>
      </c>
      <c r="J5" s="24">
        <f>E5*J$3</f>
        <v>1.1000000000000001</v>
      </c>
      <c r="K5" s="24">
        <f>E5*K$3</f>
        <v>3.75</v>
      </c>
    </row>
    <row r="6" spans="1:11" x14ac:dyDescent="0.2">
      <c r="A6">
        <v>20</v>
      </c>
      <c r="B6" t="s">
        <v>2</v>
      </c>
      <c r="C6">
        <v>145</v>
      </c>
      <c r="D6" t="s">
        <v>72</v>
      </c>
      <c r="E6">
        <f t="shared" si="0"/>
        <v>0.14499999999999999</v>
      </c>
      <c r="F6" t="s">
        <v>98</v>
      </c>
      <c r="G6" s="21">
        <f t="shared" ref="G6:G46" si="1">G$3*E6</f>
        <v>0</v>
      </c>
      <c r="H6" s="24">
        <v>12</v>
      </c>
      <c r="I6" s="24">
        <f t="shared" ref="I6:I46" si="2">I$3*E6</f>
        <v>18.125</v>
      </c>
      <c r="J6" s="24">
        <f t="shared" ref="J6:J46" si="3">J$3*E6</f>
        <v>3.19</v>
      </c>
      <c r="K6" s="24">
        <f t="shared" ref="K6:K46" si="4">E6*K$3</f>
        <v>10.875</v>
      </c>
    </row>
    <row r="7" spans="1:11" x14ac:dyDescent="0.2">
      <c r="A7">
        <v>20</v>
      </c>
      <c r="B7" t="s">
        <v>166</v>
      </c>
      <c r="C7">
        <v>0</v>
      </c>
      <c r="E7">
        <f t="shared" si="0"/>
        <v>0</v>
      </c>
      <c r="F7" t="s">
        <v>170</v>
      </c>
      <c r="G7" s="21">
        <f t="shared" si="1"/>
        <v>0</v>
      </c>
      <c r="H7" s="24">
        <f t="shared" ref="H7:H46" si="5">$H$3*E7</f>
        <v>0</v>
      </c>
      <c r="I7" s="24">
        <f t="shared" si="2"/>
        <v>0</v>
      </c>
      <c r="J7" s="24">
        <f t="shared" si="3"/>
        <v>0</v>
      </c>
      <c r="K7" s="24">
        <f t="shared" si="4"/>
        <v>0</v>
      </c>
    </row>
    <row r="8" spans="1:11" x14ac:dyDescent="0.2">
      <c r="A8">
        <v>24</v>
      </c>
      <c r="B8" t="s">
        <v>1</v>
      </c>
      <c r="C8">
        <v>180</v>
      </c>
      <c r="D8" t="s">
        <v>72</v>
      </c>
      <c r="E8">
        <f t="shared" si="0"/>
        <v>0.18</v>
      </c>
      <c r="F8" t="s">
        <v>98</v>
      </c>
      <c r="G8" s="21">
        <f t="shared" si="1"/>
        <v>0</v>
      </c>
      <c r="H8" s="24">
        <v>15</v>
      </c>
      <c r="I8" s="24">
        <f t="shared" si="2"/>
        <v>22.5</v>
      </c>
      <c r="J8" s="24">
        <f t="shared" si="3"/>
        <v>3.96</v>
      </c>
      <c r="K8" s="24">
        <f t="shared" si="4"/>
        <v>13.5</v>
      </c>
    </row>
    <row r="9" spans="1:11" x14ac:dyDescent="0.2">
      <c r="A9">
        <v>5</v>
      </c>
      <c r="B9" t="s">
        <v>17</v>
      </c>
      <c r="C9">
        <v>8</v>
      </c>
      <c r="D9" t="s">
        <v>72</v>
      </c>
      <c r="E9">
        <f t="shared" si="0"/>
        <v>8.0000000000000002E-3</v>
      </c>
      <c r="F9" t="s">
        <v>98</v>
      </c>
      <c r="G9" s="21">
        <f t="shared" si="1"/>
        <v>0</v>
      </c>
      <c r="H9" s="24">
        <v>1</v>
      </c>
      <c r="I9" s="24">
        <f t="shared" si="2"/>
        <v>1</v>
      </c>
      <c r="J9" s="24">
        <f t="shared" si="3"/>
        <v>0.17599999999999999</v>
      </c>
      <c r="K9" s="24">
        <f t="shared" si="4"/>
        <v>0.6</v>
      </c>
    </row>
    <row r="10" spans="1:11" x14ac:dyDescent="0.2">
      <c r="A10">
        <v>48</v>
      </c>
      <c r="B10" t="s">
        <v>31</v>
      </c>
      <c r="C10">
        <v>8</v>
      </c>
      <c r="D10" t="s">
        <v>72</v>
      </c>
      <c r="E10">
        <f t="shared" si="0"/>
        <v>8.0000000000000002E-3</v>
      </c>
      <c r="F10" t="s">
        <v>98</v>
      </c>
      <c r="G10" s="21">
        <f t="shared" si="1"/>
        <v>0</v>
      </c>
      <c r="H10" s="24">
        <v>1</v>
      </c>
      <c r="I10" s="24">
        <f t="shared" si="2"/>
        <v>1</v>
      </c>
      <c r="J10" s="24">
        <f t="shared" si="3"/>
        <v>0.17599999999999999</v>
      </c>
      <c r="K10" s="24">
        <f t="shared" si="4"/>
        <v>0.6</v>
      </c>
    </row>
    <row r="11" spans="1:11" x14ac:dyDescent="0.2">
      <c r="A11">
        <v>1</v>
      </c>
      <c r="B11" t="s">
        <v>19</v>
      </c>
      <c r="C11">
        <v>40</v>
      </c>
      <c r="D11" t="s">
        <v>72</v>
      </c>
      <c r="E11">
        <f t="shared" si="0"/>
        <v>0.04</v>
      </c>
      <c r="F11" t="s">
        <v>98</v>
      </c>
      <c r="G11" s="21">
        <f t="shared" si="1"/>
        <v>0</v>
      </c>
      <c r="H11" s="24">
        <v>3</v>
      </c>
      <c r="I11" s="24">
        <f t="shared" si="2"/>
        <v>5</v>
      </c>
      <c r="J11" s="24">
        <f t="shared" si="3"/>
        <v>0.88</v>
      </c>
      <c r="K11" s="24">
        <f t="shared" si="4"/>
        <v>3</v>
      </c>
    </row>
    <row r="12" spans="1:11" x14ac:dyDescent="0.2">
      <c r="A12">
        <v>3</v>
      </c>
      <c r="B12" t="s">
        <v>4</v>
      </c>
      <c r="C12">
        <v>20</v>
      </c>
      <c r="D12" t="s">
        <v>72</v>
      </c>
      <c r="E12">
        <f t="shared" si="0"/>
        <v>0.02</v>
      </c>
      <c r="F12" t="s">
        <v>98</v>
      </c>
      <c r="G12" s="21">
        <f t="shared" si="1"/>
        <v>0</v>
      </c>
      <c r="H12" s="24">
        <v>0</v>
      </c>
      <c r="I12" s="24">
        <f t="shared" si="2"/>
        <v>2.5</v>
      </c>
      <c r="J12" s="24">
        <f t="shared" si="3"/>
        <v>0.44</v>
      </c>
      <c r="K12" s="24">
        <f t="shared" si="4"/>
        <v>1.5</v>
      </c>
    </row>
    <row r="13" spans="1:11" x14ac:dyDescent="0.2">
      <c r="A13">
        <v>0.2</v>
      </c>
      <c r="B13" t="s">
        <v>32</v>
      </c>
      <c r="C13">
        <v>1</v>
      </c>
      <c r="D13" t="s">
        <v>72</v>
      </c>
      <c r="E13">
        <f t="shared" si="0"/>
        <v>1E-3</v>
      </c>
      <c r="F13" t="s">
        <v>98</v>
      </c>
      <c r="G13" s="21">
        <f t="shared" si="1"/>
        <v>0</v>
      </c>
      <c r="H13" s="24">
        <v>0.2</v>
      </c>
      <c r="I13" s="24">
        <f t="shared" si="2"/>
        <v>0.125</v>
      </c>
      <c r="J13" s="24">
        <f t="shared" si="3"/>
        <v>2.1999999999999999E-2</v>
      </c>
      <c r="K13" s="24">
        <f t="shared" si="4"/>
        <v>7.4999999999999997E-2</v>
      </c>
    </row>
    <row r="14" spans="1:11" x14ac:dyDescent="0.2">
      <c r="A14">
        <v>10</v>
      </c>
      <c r="B14" t="s">
        <v>10</v>
      </c>
      <c r="C14">
        <v>25</v>
      </c>
      <c r="E14">
        <f t="shared" si="0"/>
        <v>2.5000000000000001E-2</v>
      </c>
      <c r="G14" s="21">
        <f t="shared" si="1"/>
        <v>0</v>
      </c>
      <c r="H14" s="24">
        <v>8</v>
      </c>
      <c r="I14" s="24">
        <f t="shared" si="2"/>
        <v>3.125</v>
      </c>
      <c r="J14" s="24">
        <f t="shared" si="3"/>
        <v>0.55000000000000004</v>
      </c>
      <c r="K14" s="24">
        <f t="shared" si="4"/>
        <v>1.875</v>
      </c>
    </row>
    <row r="15" spans="1:11" x14ac:dyDescent="0.2">
      <c r="C15">
        <v>100</v>
      </c>
      <c r="E15">
        <f t="shared" si="0"/>
        <v>0.1</v>
      </c>
      <c r="G15" s="21">
        <f t="shared" si="1"/>
        <v>0</v>
      </c>
      <c r="H15" s="24">
        <v>0</v>
      </c>
      <c r="I15" s="24">
        <f t="shared" si="2"/>
        <v>12.5</v>
      </c>
      <c r="J15" s="24">
        <f t="shared" si="3"/>
        <v>2.2000000000000002</v>
      </c>
      <c r="K15" s="24">
        <f t="shared" si="4"/>
        <v>7.5</v>
      </c>
    </row>
    <row r="16" spans="1:11" x14ac:dyDescent="0.2">
      <c r="A16">
        <v>15</v>
      </c>
      <c r="B16" t="s">
        <v>78</v>
      </c>
      <c r="C16">
        <v>40</v>
      </c>
      <c r="E16">
        <f t="shared" si="0"/>
        <v>0.04</v>
      </c>
      <c r="G16" s="21">
        <f t="shared" si="1"/>
        <v>0</v>
      </c>
      <c r="H16" s="24">
        <v>4</v>
      </c>
      <c r="I16" s="24">
        <f t="shared" si="2"/>
        <v>5</v>
      </c>
      <c r="J16" s="24">
        <f t="shared" si="3"/>
        <v>0.88</v>
      </c>
      <c r="K16" s="24">
        <f t="shared" si="4"/>
        <v>3</v>
      </c>
    </row>
    <row r="17" spans="1:11" x14ac:dyDescent="0.2">
      <c r="A17">
        <v>15</v>
      </c>
      <c r="B17" s="1" t="s">
        <v>203</v>
      </c>
      <c r="C17">
        <v>40</v>
      </c>
      <c r="E17">
        <f t="shared" si="0"/>
        <v>0.04</v>
      </c>
      <c r="G17" s="21">
        <f t="shared" si="1"/>
        <v>0</v>
      </c>
      <c r="H17" s="24">
        <v>4</v>
      </c>
      <c r="I17" s="24">
        <f t="shared" si="2"/>
        <v>5</v>
      </c>
      <c r="J17" s="24">
        <f t="shared" si="3"/>
        <v>0.88</v>
      </c>
      <c r="K17" s="24">
        <f t="shared" si="4"/>
        <v>3</v>
      </c>
    </row>
    <row r="18" spans="1:11" x14ac:dyDescent="0.2">
      <c r="A18">
        <v>30</v>
      </c>
      <c r="B18" t="s">
        <v>13</v>
      </c>
      <c r="C18">
        <v>120</v>
      </c>
      <c r="D18" t="s">
        <v>72</v>
      </c>
      <c r="E18">
        <f t="shared" si="0"/>
        <v>0.12</v>
      </c>
      <c r="F18" t="s">
        <v>98</v>
      </c>
      <c r="G18" s="21">
        <f t="shared" si="1"/>
        <v>0</v>
      </c>
      <c r="H18" s="24">
        <v>10</v>
      </c>
      <c r="I18" s="24">
        <f t="shared" si="2"/>
        <v>15</v>
      </c>
      <c r="J18" s="24">
        <f t="shared" si="3"/>
        <v>2.6399999999999997</v>
      </c>
      <c r="K18" s="24">
        <f t="shared" si="4"/>
        <v>9</v>
      </c>
    </row>
    <row r="19" spans="1:11" x14ac:dyDescent="0.2">
      <c r="A19">
        <v>25</v>
      </c>
      <c r="B19" t="s">
        <v>14</v>
      </c>
      <c r="C19">
        <v>120</v>
      </c>
      <c r="E19">
        <f t="shared" si="0"/>
        <v>0.12</v>
      </c>
      <c r="G19" s="21">
        <f t="shared" si="1"/>
        <v>0</v>
      </c>
      <c r="H19" s="24">
        <v>10</v>
      </c>
      <c r="I19" s="24">
        <f t="shared" si="2"/>
        <v>15</v>
      </c>
      <c r="J19" s="24">
        <f t="shared" si="3"/>
        <v>2.6399999999999997</v>
      </c>
      <c r="K19" s="24">
        <f t="shared" si="4"/>
        <v>9</v>
      </c>
    </row>
    <row r="20" spans="1:11" x14ac:dyDescent="0.2">
      <c r="B20" t="s">
        <v>15</v>
      </c>
      <c r="C20">
        <v>0</v>
      </c>
      <c r="E20">
        <f t="shared" si="0"/>
        <v>0</v>
      </c>
      <c r="G20" s="21">
        <f t="shared" si="1"/>
        <v>0</v>
      </c>
      <c r="H20" s="24">
        <f t="shared" si="5"/>
        <v>0</v>
      </c>
      <c r="I20" s="24">
        <f t="shared" si="2"/>
        <v>0</v>
      </c>
      <c r="J20" s="24">
        <f t="shared" si="3"/>
        <v>0</v>
      </c>
      <c r="K20" s="24">
        <f t="shared" si="4"/>
        <v>0</v>
      </c>
    </row>
    <row r="21" spans="1:11" x14ac:dyDescent="0.2">
      <c r="B21" t="s">
        <v>0</v>
      </c>
      <c r="C21">
        <v>4200</v>
      </c>
      <c r="D21" t="s">
        <v>72</v>
      </c>
      <c r="E21">
        <v>0</v>
      </c>
      <c r="F21" t="s">
        <v>98</v>
      </c>
      <c r="G21" s="21">
        <f t="shared" si="1"/>
        <v>0</v>
      </c>
      <c r="H21" s="24">
        <f t="shared" si="5"/>
        <v>0</v>
      </c>
      <c r="I21" s="24">
        <f t="shared" si="2"/>
        <v>0</v>
      </c>
      <c r="J21" s="24">
        <f t="shared" si="3"/>
        <v>0</v>
      </c>
      <c r="K21" s="24">
        <f t="shared" si="4"/>
        <v>0</v>
      </c>
    </row>
    <row r="22" spans="1:11" x14ac:dyDescent="0.2">
      <c r="B22" t="s">
        <v>36</v>
      </c>
      <c r="C22">
        <v>10</v>
      </c>
      <c r="D22" t="s">
        <v>72</v>
      </c>
      <c r="E22">
        <f t="shared" si="0"/>
        <v>0.01</v>
      </c>
      <c r="F22" t="s">
        <v>98</v>
      </c>
      <c r="G22" s="22">
        <f>(((G3*C22)*5))</f>
        <v>0</v>
      </c>
      <c r="H22" s="24">
        <v>5</v>
      </c>
      <c r="I22" s="24">
        <f t="shared" si="2"/>
        <v>1.25</v>
      </c>
      <c r="J22" s="24">
        <f t="shared" si="3"/>
        <v>0.22</v>
      </c>
      <c r="K22" s="24">
        <f t="shared" si="4"/>
        <v>0.75</v>
      </c>
    </row>
    <row r="23" spans="1:11" x14ac:dyDescent="0.2">
      <c r="A23">
        <v>100</v>
      </c>
      <c r="B23" s="1" t="s">
        <v>204</v>
      </c>
      <c r="C23">
        <v>1</v>
      </c>
      <c r="D23" s="1" t="s">
        <v>205</v>
      </c>
      <c r="E23">
        <v>1</v>
      </c>
      <c r="G23" s="22">
        <f>E23*G3</f>
        <v>0</v>
      </c>
      <c r="H23" s="24">
        <v>0</v>
      </c>
      <c r="I23" s="24">
        <f t="shared" si="2"/>
        <v>125</v>
      </c>
      <c r="J23" s="24">
        <f t="shared" si="3"/>
        <v>22</v>
      </c>
      <c r="K23" s="24">
        <f t="shared" si="4"/>
        <v>75</v>
      </c>
    </row>
    <row r="24" spans="1:11" x14ac:dyDescent="0.2">
      <c r="A24">
        <v>4</v>
      </c>
      <c r="B24" t="s">
        <v>89</v>
      </c>
      <c r="C24">
        <v>30</v>
      </c>
      <c r="D24" t="s">
        <v>101</v>
      </c>
      <c r="E24">
        <f t="shared" si="0"/>
        <v>0.03</v>
      </c>
      <c r="G24" s="21">
        <f t="shared" si="1"/>
        <v>0</v>
      </c>
      <c r="H24" s="24">
        <v>3</v>
      </c>
      <c r="I24" s="24">
        <f t="shared" si="2"/>
        <v>3.75</v>
      </c>
      <c r="J24" s="24">
        <f t="shared" si="3"/>
        <v>0.65999999999999992</v>
      </c>
      <c r="K24" s="24">
        <f t="shared" si="4"/>
        <v>2.25</v>
      </c>
    </row>
    <row r="25" spans="1:11" x14ac:dyDescent="0.2">
      <c r="A25">
        <v>15</v>
      </c>
      <c r="B25" t="s">
        <v>30</v>
      </c>
      <c r="C25">
        <v>140</v>
      </c>
      <c r="D25" t="s">
        <v>72</v>
      </c>
      <c r="E25">
        <f t="shared" ref="E25:E46" si="6">((C25*E$4)/1000)</f>
        <v>0.14000000000000001</v>
      </c>
      <c r="F25" t="s">
        <v>98</v>
      </c>
      <c r="G25" s="21">
        <f t="shared" si="1"/>
        <v>0</v>
      </c>
      <c r="H25" s="24">
        <v>12</v>
      </c>
      <c r="I25" s="24">
        <f t="shared" si="2"/>
        <v>17.5</v>
      </c>
      <c r="J25" s="24">
        <f t="shared" si="3"/>
        <v>3.08</v>
      </c>
      <c r="K25" s="24">
        <f t="shared" si="4"/>
        <v>10.500000000000002</v>
      </c>
    </row>
    <row r="26" spans="1:11" x14ac:dyDescent="0.2">
      <c r="A26">
        <v>6</v>
      </c>
      <c r="B26" t="s">
        <v>20</v>
      </c>
      <c r="C26">
        <v>137</v>
      </c>
      <c r="D26" t="s">
        <v>72</v>
      </c>
      <c r="E26">
        <v>0.13700000000000001</v>
      </c>
      <c r="F26" t="s">
        <v>98</v>
      </c>
      <c r="G26" s="22">
        <f>(((G6*C26)*5)/1000)</f>
        <v>0</v>
      </c>
      <c r="H26" s="24">
        <f t="shared" si="5"/>
        <v>11.782</v>
      </c>
      <c r="I26" s="24">
        <f t="shared" si="2"/>
        <v>17.125</v>
      </c>
      <c r="J26" s="24">
        <f t="shared" si="3"/>
        <v>3.0140000000000002</v>
      </c>
      <c r="K26" s="24">
        <f t="shared" si="4"/>
        <v>10.275</v>
      </c>
    </row>
    <row r="27" spans="1:11" x14ac:dyDescent="0.2">
      <c r="A27">
        <v>14</v>
      </c>
      <c r="B27" t="s">
        <v>6</v>
      </c>
      <c r="C27">
        <v>120</v>
      </c>
      <c r="D27" t="s">
        <v>72</v>
      </c>
      <c r="E27">
        <f t="shared" si="6"/>
        <v>0.12</v>
      </c>
      <c r="F27" t="s">
        <v>98</v>
      </c>
      <c r="G27" s="21">
        <f t="shared" si="1"/>
        <v>0</v>
      </c>
      <c r="H27" s="24">
        <f t="shared" si="5"/>
        <v>10.32</v>
      </c>
      <c r="I27" s="24">
        <f t="shared" si="2"/>
        <v>15</v>
      </c>
      <c r="J27" s="24">
        <f t="shared" si="3"/>
        <v>2.6399999999999997</v>
      </c>
      <c r="K27" s="24">
        <f t="shared" si="4"/>
        <v>9</v>
      </c>
    </row>
    <row r="28" spans="1:11" x14ac:dyDescent="0.2">
      <c r="B28" t="s">
        <v>74</v>
      </c>
      <c r="C28">
        <v>10</v>
      </c>
      <c r="D28" t="s">
        <v>72</v>
      </c>
      <c r="E28">
        <f t="shared" si="6"/>
        <v>0.01</v>
      </c>
      <c r="F28" t="s">
        <v>98</v>
      </c>
      <c r="G28" s="21">
        <f t="shared" si="1"/>
        <v>0</v>
      </c>
      <c r="H28" s="24">
        <f t="shared" si="5"/>
        <v>0.86</v>
      </c>
      <c r="I28" s="24">
        <f t="shared" si="2"/>
        <v>1.25</v>
      </c>
      <c r="J28" s="24">
        <f t="shared" si="3"/>
        <v>0.22</v>
      </c>
      <c r="K28" s="24">
        <f t="shared" si="4"/>
        <v>0.75</v>
      </c>
    </row>
    <row r="29" spans="1:11" x14ac:dyDescent="0.2">
      <c r="A29">
        <v>4</v>
      </c>
      <c r="B29" t="s">
        <v>73</v>
      </c>
      <c r="C29">
        <v>20</v>
      </c>
      <c r="E29">
        <f t="shared" si="6"/>
        <v>0.02</v>
      </c>
      <c r="G29" s="21">
        <f t="shared" si="1"/>
        <v>0</v>
      </c>
      <c r="H29" s="24">
        <f t="shared" si="5"/>
        <v>1.72</v>
      </c>
      <c r="I29" s="24">
        <f t="shared" si="2"/>
        <v>2.5</v>
      </c>
      <c r="J29" s="24">
        <f t="shared" si="3"/>
        <v>0.44</v>
      </c>
      <c r="K29" s="24">
        <f t="shared" si="4"/>
        <v>1.5</v>
      </c>
    </row>
    <row r="30" spans="1:11" x14ac:dyDescent="0.2">
      <c r="A30">
        <v>1</v>
      </c>
      <c r="B30" t="s">
        <v>29</v>
      </c>
      <c r="C30">
        <v>40</v>
      </c>
      <c r="D30" t="s">
        <v>72</v>
      </c>
      <c r="E30">
        <f t="shared" si="6"/>
        <v>0.04</v>
      </c>
      <c r="F30" t="s">
        <v>98</v>
      </c>
      <c r="G30" s="21">
        <f t="shared" si="1"/>
        <v>0</v>
      </c>
      <c r="H30" s="24">
        <f t="shared" si="5"/>
        <v>3.44</v>
      </c>
      <c r="I30" s="24">
        <f t="shared" si="2"/>
        <v>5</v>
      </c>
      <c r="J30" s="24">
        <f t="shared" si="3"/>
        <v>0.88</v>
      </c>
      <c r="K30" s="24">
        <f t="shared" si="4"/>
        <v>3</v>
      </c>
    </row>
    <row r="31" spans="1:11" x14ac:dyDescent="0.2">
      <c r="B31" t="s">
        <v>27</v>
      </c>
      <c r="C31">
        <v>40</v>
      </c>
      <c r="D31" t="s">
        <v>72</v>
      </c>
      <c r="E31">
        <f t="shared" si="6"/>
        <v>0.04</v>
      </c>
      <c r="F31" t="s">
        <v>98</v>
      </c>
      <c r="G31" s="21">
        <f t="shared" si="1"/>
        <v>0</v>
      </c>
      <c r="H31" s="24">
        <f t="shared" si="5"/>
        <v>3.44</v>
      </c>
      <c r="I31" s="24">
        <f t="shared" si="2"/>
        <v>5</v>
      </c>
      <c r="J31" s="24">
        <f t="shared" si="3"/>
        <v>0.88</v>
      </c>
      <c r="K31" s="24">
        <f t="shared" si="4"/>
        <v>3</v>
      </c>
    </row>
    <row r="32" spans="1:11" x14ac:dyDescent="0.2">
      <c r="A32">
        <v>2</v>
      </c>
      <c r="B32" t="s">
        <v>28</v>
      </c>
      <c r="E32">
        <f t="shared" si="6"/>
        <v>0</v>
      </c>
      <c r="G32" s="21">
        <f t="shared" si="1"/>
        <v>0</v>
      </c>
      <c r="H32" s="24">
        <f t="shared" si="5"/>
        <v>0</v>
      </c>
      <c r="I32" s="24">
        <f t="shared" si="2"/>
        <v>0</v>
      </c>
      <c r="J32" s="24">
        <f t="shared" si="3"/>
        <v>0</v>
      </c>
      <c r="K32" s="24">
        <f t="shared" si="4"/>
        <v>0</v>
      </c>
    </row>
    <row r="33" spans="1:11" x14ac:dyDescent="0.2">
      <c r="B33" t="s">
        <v>26</v>
      </c>
      <c r="E33">
        <f t="shared" si="6"/>
        <v>0</v>
      </c>
      <c r="G33" s="21">
        <f t="shared" si="1"/>
        <v>0</v>
      </c>
      <c r="H33" s="24">
        <f t="shared" si="5"/>
        <v>0</v>
      </c>
      <c r="I33" s="24">
        <f t="shared" si="2"/>
        <v>0</v>
      </c>
      <c r="J33" s="24">
        <f t="shared" si="3"/>
        <v>0</v>
      </c>
      <c r="K33" s="24">
        <f t="shared" si="4"/>
        <v>0</v>
      </c>
    </row>
    <row r="34" spans="1:11" x14ac:dyDescent="0.2">
      <c r="A34">
        <v>1</v>
      </c>
      <c r="B34" t="s">
        <v>23</v>
      </c>
      <c r="C34">
        <v>10</v>
      </c>
      <c r="D34" t="s">
        <v>72</v>
      </c>
      <c r="E34">
        <f t="shared" si="6"/>
        <v>0.01</v>
      </c>
      <c r="F34" t="s">
        <v>98</v>
      </c>
      <c r="G34" s="21">
        <f t="shared" si="1"/>
        <v>0</v>
      </c>
      <c r="H34" s="24">
        <f t="shared" si="5"/>
        <v>0.86</v>
      </c>
      <c r="I34" s="24">
        <f t="shared" si="2"/>
        <v>1.25</v>
      </c>
      <c r="J34" s="24">
        <f t="shared" si="3"/>
        <v>0.22</v>
      </c>
      <c r="K34" s="24">
        <f t="shared" si="4"/>
        <v>0.75</v>
      </c>
    </row>
    <row r="35" spans="1:11" x14ac:dyDescent="0.2">
      <c r="A35">
        <v>1</v>
      </c>
      <c r="B35" t="s">
        <v>22</v>
      </c>
      <c r="C35">
        <v>10</v>
      </c>
      <c r="D35" t="s">
        <v>72</v>
      </c>
      <c r="E35">
        <f t="shared" si="6"/>
        <v>0.01</v>
      </c>
      <c r="F35" t="s">
        <v>98</v>
      </c>
      <c r="G35" s="21">
        <f t="shared" si="1"/>
        <v>0</v>
      </c>
      <c r="H35" s="24">
        <f t="shared" si="5"/>
        <v>0.86</v>
      </c>
      <c r="I35" s="24">
        <f t="shared" si="2"/>
        <v>1.25</v>
      </c>
      <c r="J35" s="24">
        <f t="shared" si="3"/>
        <v>0.22</v>
      </c>
      <c r="K35" s="24">
        <f t="shared" si="4"/>
        <v>0.75</v>
      </c>
    </row>
    <row r="36" spans="1:11" x14ac:dyDescent="0.2">
      <c r="A36">
        <v>2</v>
      </c>
      <c r="B36" t="s">
        <v>24</v>
      </c>
      <c r="C36">
        <v>10</v>
      </c>
      <c r="D36" t="s">
        <v>72</v>
      </c>
      <c r="E36">
        <f t="shared" si="6"/>
        <v>0.01</v>
      </c>
      <c r="F36" t="s">
        <v>98</v>
      </c>
      <c r="G36" s="21">
        <f t="shared" si="1"/>
        <v>0</v>
      </c>
      <c r="H36" s="24">
        <f t="shared" si="5"/>
        <v>0.86</v>
      </c>
      <c r="I36" s="24">
        <f t="shared" si="2"/>
        <v>1.25</v>
      </c>
      <c r="J36" s="24">
        <f t="shared" si="3"/>
        <v>0.22</v>
      </c>
      <c r="K36" s="24">
        <f t="shared" si="4"/>
        <v>0.75</v>
      </c>
    </row>
    <row r="37" spans="1:11" x14ac:dyDescent="0.2">
      <c r="A37">
        <v>1</v>
      </c>
      <c r="B37" t="s">
        <v>25</v>
      </c>
      <c r="C37">
        <v>10</v>
      </c>
      <c r="D37" t="s">
        <v>72</v>
      </c>
      <c r="E37">
        <f t="shared" si="6"/>
        <v>0.01</v>
      </c>
      <c r="F37" t="s">
        <v>98</v>
      </c>
      <c r="G37" s="21">
        <f t="shared" si="1"/>
        <v>0</v>
      </c>
      <c r="H37" s="24">
        <f t="shared" si="5"/>
        <v>0.86</v>
      </c>
      <c r="I37" s="24">
        <f t="shared" si="2"/>
        <v>1.25</v>
      </c>
      <c r="J37" s="24">
        <f t="shared" si="3"/>
        <v>0.22</v>
      </c>
      <c r="K37" s="24">
        <f t="shared" si="4"/>
        <v>0.75</v>
      </c>
    </row>
    <row r="38" spans="1:11" x14ac:dyDescent="0.2">
      <c r="B38" t="s">
        <v>34</v>
      </c>
      <c r="C38">
        <v>0.05</v>
      </c>
      <c r="D38" t="s">
        <v>72</v>
      </c>
      <c r="E38">
        <f t="shared" si="6"/>
        <v>5.0000000000000002E-5</v>
      </c>
      <c r="F38" t="s">
        <v>98</v>
      </c>
      <c r="G38" s="21">
        <f t="shared" si="1"/>
        <v>0</v>
      </c>
      <c r="H38" s="24">
        <f t="shared" si="5"/>
        <v>4.3E-3</v>
      </c>
      <c r="I38" s="24">
        <f t="shared" si="2"/>
        <v>6.2500000000000003E-3</v>
      </c>
      <c r="J38" s="24">
        <f t="shared" si="3"/>
        <v>1.1000000000000001E-3</v>
      </c>
      <c r="K38" s="24">
        <f t="shared" si="4"/>
        <v>3.7500000000000003E-3</v>
      </c>
    </row>
    <row r="39" spans="1:11" x14ac:dyDescent="0.2">
      <c r="B39" t="s">
        <v>33</v>
      </c>
      <c r="C39">
        <v>1</v>
      </c>
      <c r="D39" t="s">
        <v>72</v>
      </c>
      <c r="E39">
        <f t="shared" si="6"/>
        <v>1E-3</v>
      </c>
      <c r="F39" t="s">
        <v>98</v>
      </c>
      <c r="G39" s="21">
        <f t="shared" si="1"/>
        <v>0</v>
      </c>
      <c r="H39" s="24">
        <f t="shared" si="5"/>
        <v>8.6000000000000007E-2</v>
      </c>
      <c r="I39" s="24">
        <f t="shared" si="2"/>
        <v>0.125</v>
      </c>
      <c r="J39" s="24">
        <f t="shared" si="3"/>
        <v>2.1999999999999999E-2</v>
      </c>
      <c r="K39" s="24">
        <f t="shared" si="4"/>
        <v>7.4999999999999997E-2</v>
      </c>
    </row>
    <row r="40" spans="1:11" x14ac:dyDescent="0.2">
      <c r="A40">
        <v>14</v>
      </c>
      <c r="B40" t="s">
        <v>5</v>
      </c>
      <c r="C40">
        <v>100</v>
      </c>
      <c r="D40" t="s">
        <v>72</v>
      </c>
      <c r="E40">
        <f t="shared" si="6"/>
        <v>0.1</v>
      </c>
      <c r="F40" t="s">
        <v>98</v>
      </c>
      <c r="G40" s="21">
        <f t="shared" si="1"/>
        <v>0</v>
      </c>
      <c r="H40" s="24">
        <f t="shared" si="5"/>
        <v>8.6</v>
      </c>
      <c r="I40" s="24">
        <f t="shared" si="2"/>
        <v>12.5</v>
      </c>
      <c r="J40" s="24">
        <f t="shared" si="3"/>
        <v>2.2000000000000002</v>
      </c>
      <c r="K40" s="24">
        <f t="shared" si="4"/>
        <v>7.5</v>
      </c>
    </row>
    <row r="41" spans="1:11" x14ac:dyDescent="0.2">
      <c r="A41">
        <v>6</v>
      </c>
      <c r="B41" t="s">
        <v>8</v>
      </c>
      <c r="C41">
        <v>100</v>
      </c>
      <c r="D41" t="s">
        <v>72</v>
      </c>
      <c r="E41">
        <f t="shared" si="6"/>
        <v>0.1</v>
      </c>
      <c r="F41" t="s">
        <v>98</v>
      </c>
      <c r="G41" s="21">
        <f t="shared" si="1"/>
        <v>0</v>
      </c>
      <c r="H41" s="24">
        <f t="shared" si="5"/>
        <v>8.6</v>
      </c>
      <c r="I41" s="24">
        <f t="shared" si="2"/>
        <v>12.5</v>
      </c>
      <c r="J41" s="24">
        <f t="shared" si="3"/>
        <v>2.2000000000000002</v>
      </c>
      <c r="K41" s="24">
        <f t="shared" si="4"/>
        <v>7.5</v>
      </c>
    </row>
    <row r="42" spans="1:11" x14ac:dyDescent="0.2">
      <c r="A42">
        <v>24</v>
      </c>
      <c r="B42" t="s">
        <v>16</v>
      </c>
      <c r="C42">
        <v>40</v>
      </c>
      <c r="D42" t="s">
        <v>72</v>
      </c>
      <c r="E42">
        <f t="shared" si="6"/>
        <v>0.04</v>
      </c>
      <c r="F42" t="s">
        <v>98</v>
      </c>
      <c r="G42" s="21">
        <f t="shared" si="1"/>
        <v>0</v>
      </c>
      <c r="H42" s="24">
        <f t="shared" si="5"/>
        <v>3.44</v>
      </c>
      <c r="I42" s="24">
        <f t="shared" si="2"/>
        <v>5</v>
      </c>
      <c r="J42" s="24">
        <f t="shared" si="3"/>
        <v>0.88</v>
      </c>
      <c r="K42" s="24">
        <f t="shared" si="4"/>
        <v>3</v>
      </c>
    </row>
    <row r="43" spans="1:11" x14ac:dyDescent="0.2">
      <c r="A43">
        <v>4</v>
      </c>
      <c r="B43" t="s">
        <v>35</v>
      </c>
      <c r="C43">
        <v>40</v>
      </c>
      <c r="E43">
        <f t="shared" si="6"/>
        <v>0.04</v>
      </c>
      <c r="G43" s="21">
        <f t="shared" si="1"/>
        <v>0</v>
      </c>
      <c r="H43" s="24">
        <f t="shared" si="5"/>
        <v>3.44</v>
      </c>
      <c r="I43" s="24">
        <f t="shared" si="2"/>
        <v>5</v>
      </c>
      <c r="J43" s="24">
        <f t="shared" si="3"/>
        <v>0.88</v>
      </c>
      <c r="K43" s="24">
        <f t="shared" si="4"/>
        <v>3</v>
      </c>
    </row>
    <row r="44" spans="1:11" x14ac:dyDescent="0.2">
      <c r="A44">
        <v>200</v>
      </c>
      <c r="B44" t="s">
        <v>18</v>
      </c>
      <c r="C44">
        <v>1</v>
      </c>
      <c r="D44" s="1" t="s">
        <v>103</v>
      </c>
      <c r="E44">
        <v>1</v>
      </c>
      <c r="F44" t="s">
        <v>102</v>
      </c>
      <c r="G44" s="21">
        <f t="shared" si="1"/>
        <v>0</v>
      </c>
      <c r="H44" s="24">
        <f t="shared" si="5"/>
        <v>86</v>
      </c>
      <c r="I44" s="24">
        <f t="shared" si="2"/>
        <v>125</v>
      </c>
      <c r="J44" s="24">
        <f t="shared" si="3"/>
        <v>22</v>
      </c>
      <c r="K44" s="24">
        <f t="shared" si="4"/>
        <v>75</v>
      </c>
    </row>
    <row r="45" spans="1:11" x14ac:dyDescent="0.2">
      <c r="A45">
        <v>8</v>
      </c>
      <c r="B45" t="s">
        <v>76</v>
      </c>
      <c r="C45">
        <v>80</v>
      </c>
      <c r="D45" t="s">
        <v>72</v>
      </c>
      <c r="E45">
        <f t="shared" si="6"/>
        <v>0.08</v>
      </c>
      <c r="F45" t="s">
        <v>98</v>
      </c>
      <c r="G45" s="21">
        <f t="shared" si="1"/>
        <v>0</v>
      </c>
      <c r="H45" s="24">
        <f t="shared" si="5"/>
        <v>6.88</v>
      </c>
      <c r="I45" s="24">
        <f t="shared" si="2"/>
        <v>10</v>
      </c>
      <c r="J45" s="24">
        <f t="shared" si="3"/>
        <v>1.76</v>
      </c>
      <c r="K45" s="24">
        <f t="shared" si="4"/>
        <v>6</v>
      </c>
    </row>
    <row r="46" spans="1:11" x14ac:dyDescent="0.2">
      <c r="A46">
        <v>2</v>
      </c>
      <c r="B46" t="s">
        <v>21</v>
      </c>
      <c r="C46">
        <v>20</v>
      </c>
      <c r="D46" t="s">
        <v>96</v>
      </c>
      <c r="E46">
        <f t="shared" si="6"/>
        <v>0.02</v>
      </c>
      <c r="F46" t="s">
        <v>97</v>
      </c>
      <c r="G46" s="21">
        <f t="shared" si="1"/>
        <v>0</v>
      </c>
      <c r="H46" s="24">
        <f t="shared" si="5"/>
        <v>1.72</v>
      </c>
      <c r="I46" s="24">
        <f t="shared" si="2"/>
        <v>2.5</v>
      </c>
      <c r="J46" s="24">
        <f t="shared" si="3"/>
        <v>0.44</v>
      </c>
      <c r="K46" s="24">
        <f t="shared" si="4"/>
        <v>1.5</v>
      </c>
    </row>
    <row r="47" spans="1:11" x14ac:dyDescent="0.2">
      <c r="I47" s="24"/>
      <c r="J47" s="24"/>
      <c r="K47" s="24"/>
    </row>
    <row r="48" spans="1:11" x14ac:dyDescent="0.2">
      <c r="B48" t="s">
        <v>79</v>
      </c>
      <c r="J48" s="6"/>
    </row>
    <row r="50" spans="1:11" x14ac:dyDescent="0.2">
      <c r="A50">
        <v>6</v>
      </c>
      <c r="B50" t="s">
        <v>94</v>
      </c>
      <c r="G50">
        <v>12</v>
      </c>
      <c r="H50">
        <v>5</v>
      </c>
      <c r="I50">
        <v>3</v>
      </c>
      <c r="J50">
        <v>2</v>
      </c>
      <c r="K50">
        <f>SUM(G50:J50)</f>
        <v>22</v>
      </c>
    </row>
    <row r="51" spans="1:11" x14ac:dyDescent="0.2">
      <c r="A51">
        <v>0.25</v>
      </c>
      <c r="B51" t="s">
        <v>86</v>
      </c>
      <c r="G51">
        <v>18</v>
      </c>
      <c r="H51">
        <v>10</v>
      </c>
      <c r="I51">
        <v>3</v>
      </c>
      <c r="J51">
        <v>2</v>
      </c>
      <c r="K51">
        <f t="shared" ref="K51:K60" si="7">SUM(G51:J51)</f>
        <v>33</v>
      </c>
    </row>
    <row r="52" spans="1:11" x14ac:dyDescent="0.2">
      <c r="A52">
        <v>5</v>
      </c>
      <c r="B52" t="s">
        <v>83</v>
      </c>
      <c r="G52">
        <v>1</v>
      </c>
      <c r="H52">
        <v>1</v>
      </c>
      <c r="I52">
        <v>1</v>
      </c>
      <c r="J52">
        <v>0.5</v>
      </c>
      <c r="K52">
        <f t="shared" si="7"/>
        <v>3.5</v>
      </c>
    </row>
    <row r="53" spans="1:11" x14ac:dyDescent="0.2">
      <c r="B53" t="s">
        <v>82</v>
      </c>
      <c r="G53">
        <v>1</v>
      </c>
      <c r="H53">
        <v>1</v>
      </c>
      <c r="I53">
        <v>1</v>
      </c>
      <c r="J53">
        <v>0.5</v>
      </c>
      <c r="K53">
        <f t="shared" si="7"/>
        <v>3.5</v>
      </c>
    </row>
    <row r="54" spans="1:11" x14ac:dyDescent="0.2">
      <c r="A54">
        <v>1</v>
      </c>
      <c r="B54" t="s">
        <v>81</v>
      </c>
      <c r="G54">
        <v>6</v>
      </c>
      <c r="H54">
        <v>6</v>
      </c>
      <c r="I54">
        <v>4</v>
      </c>
      <c r="J54">
        <v>3</v>
      </c>
      <c r="K54">
        <f t="shared" si="7"/>
        <v>19</v>
      </c>
    </row>
    <row r="55" spans="1:11" x14ac:dyDescent="0.2">
      <c r="A55">
        <v>3</v>
      </c>
      <c r="B55" t="s">
        <v>80</v>
      </c>
      <c r="G55">
        <v>5</v>
      </c>
      <c r="H55">
        <v>3</v>
      </c>
      <c r="I55">
        <v>2</v>
      </c>
      <c r="J55">
        <v>1</v>
      </c>
      <c r="K55">
        <f t="shared" si="7"/>
        <v>11</v>
      </c>
    </row>
    <row r="56" spans="1:11" x14ac:dyDescent="0.2">
      <c r="B56" t="s">
        <v>87</v>
      </c>
      <c r="G56">
        <v>2</v>
      </c>
      <c r="H56">
        <v>2</v>
      </c>
      <c r="I56">
        <v>1</v>
      </c>
      <c r="J56">
        <v>1</v>
      </c>
      <c r="K56">
        <f t="shared" si="7"/>
        <v>6</v>
      </c>
    </row>
    <row r="57" spans="1:11" x14ac:dyDescent="0.2">
      <c r="A57">
        <v>4</v>
      </c>
      <c r="B57" t="s">
        <v>84</v>
      </c>
      <c r="G57">
        <v>6</v>
      </c>
      <c r="H57">
        <v>4</v>
      </c>
      <c r="I57">
        <v>2</v>
      </c>
      <c r="J57">
        <v>1</v>
      </c>
      <c r="K57">
        <f t="shared" si="7"/>
        <v>13</v>
      </c>
    </row>
    <row r="58" spans="1:11" x14ac:dyDescent="0.2">
      <c r="B58" t="s">
        <v>85</v>
      </c>
      <c r="G58">
        <v>10</v>
      </c>
      <c r="H58">
        <v>3</v>
      </c>
      <c r="I58">
        <v>2</v>
      </c>
      <c r="J58">
        <v>1</v>
      </c>
      <c r="K58">
        <f t="shared" si="7"/>
        <v>16</v>
      </c>
    </row>
    <row r="59" spans="1:11" x14ac:dyDescent="0.2">
      <c r="B59" t="s">
        <v>92</v>
      </c>
      <c r="G59">
        <v>2</v>
      </c>
      <c r="H59">
        <v>0.5</v>
      </c>
      <c r="I59">
        <v>0.5</v>
      </c>
      <c r="J59">
        <v>0.2</v>
      </c>
      <c r="K59">
        <f t="shared" si="7"/>
        <v>3.2</v>
      </c>
    </row>
    <row r="60" spans="1:11" x14ac:dyDescent="0.2">
      <c r="B60" t="s">
        <v>93</v>
      </c>
      <c r="G60">
        <v>5</v>
      </c>
      <c r="H60">
        <v>5</v>
      </c>
      <c r="I60">
        <v>2</v>
      </c>
      <c r="J60">
        <v>2</v>
      </c>
      <c r="K60">
        <f t="shared" si="7"/>
        <v>14</v>
      </c>
    </row>
    <row r="61" spans="1:11" x14ac:dyDescent="0.2">
      <c r="A61">
        <v>1</v>
      </c>
      <c r="B61" t="s">
        <v>153</v>
      </c>
    </row>
  </sheetData>
  <phoneticPr fontId="2" type="noConversion"/>
  <pageMargins left="0.16" right="0.75" top="1" bottom="1" header="0" footer="0"/>
  <pageSetup orientation="landscape" horizontalDpi="4294967293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P91"/>
  <sheetViews>
    <sheetView workbookViewId="0">
      <selection sqref="A1:I93"/>
    </sheetView>
  </sheetViews>
  <sheetFormatPr baseColWidth="10" defaultRowHeight="12.75" x14ac:dyDescent="0.2"/>
  <cols>
    <col min="1" max="1" width="2.7109375" customWidth="1"/>
    <col min="2" max="2" width="15.42578125" customWidth="1"/>
    <col min="3" max="3" width="7.140625" customWidth="1"/>
    <col min="4" max="4" width="6.42578125" customWidth="1"/>
    <col min="5" max="5" width="7.140625" customWidth="1"/>
    <col min="6" max="6" width="8.5703125" customWidth="1"/>
    <col min="7" max="7" width="7.7109375" customWidth="1"/>
    <col min="8" max="8" width="9" customWidth="1"/>
  </cols>
  <sheetData>
    <row r="2" spans="2:16" x14ac:dyDescent="0.2">
      <c r="B2" s="3" t="s">
        <v>71</v>
      </c>
      <c r="I2" s="8">
        <v>40450</v>
      </c>
    </row>
    <row r="3" spans="2:16" x14ac:dyDescent="0.2">
      <c r="B3" s="3"/>
      <c r="I3" s="8"/>
    </row>
    <row r="4" spans="2:16" x14ac:dyDescent="0.2">
      <c r="C4" s="26" t="s">
        <v>193</v>
      </c>
      <c r="D4" s="26"/>
      <c r="E4" s="26"/>
      <c r="F4" t="s">
        <v>95</v>
      </c>
      <c r="G4" t="s">
        <v>95</v>
      </c>
      <c r="O4" s="25"/>
      <c r="P4" s="25"/>
    </row>
    <row r="5" spans="2:16" x14ac:dyDescent="0.2">
      <c r="C5" s="12" t="s">
        <v>194</v>
      </c>
      <c r="D5" t="s">
        <v>196</v>
      </c>
      <c r="E5" s="6" t="s">
        <v>195</v>
      </c>
      <c r="F5">
        <v>1</v>
      </c>
      <c r="G5">
        <v>200</v>
      </c>
      <c r="H5" t="s">
        <v>77</v>
      </c>
      <c r="I5" s="3" t="s">
        <v>163</v>
      </c>
      <c r="L5" s="7"/>
      <c r="O5" s="15"/>
      <c r="P5" s="15"/>
    </row>
    <row r="6" spans="2:16" x14ac:dyDescent="0.2">
      <c r="B6" t="s">
        <v>9</v>
      </c>
      <c r="C6">
        <v>20</v>
      </c>
      <c r="D6" t="s">
        <v>183</v>
      </c>
      <c r="E6" s="17">
        <f>((C6)/1000)</f>
        <v>0.02</v>
      </c>
      <c r="F6" s="18">
        <f t="shared" ref="F6:F24" si="0">((E6*5.5)*4)</f>
        <v>0.44</v>
      </c>
      <c r="G6" s="11">
        <f>F6*G$5</f>
        <v>88</v>
      </c>
      <c r="H6" s="4">
        <v>0</v>
      </c>
      <c r="I6" s="16">
        <f>((G6-(G6/4)-H6))</f>
        <v>66</v>
      </c>
      <c r="J6" s="14"/>
      <c r="K6" s="14"/>
      <c r="O6" s="3"/>
      <c r="P6" s="3"/>
    </row>
    <row r="7" spans="2:16" x14ac:dyDescent="0.2">
      <c r="B7" t="s">
        <v>123</v>
      </c>
      <c r="C7">
        <v>25</v>
      </c>
      <c r="D7" t="s">
        <v>184</v>
      </c>
      <c r="E7" s="17">
        <f t="shared" ref="E7:E62" si="1">((C7)/1000)</f>
        <v>2.5000000000000001E-2</v>
      </c>
      <c r="F7" s="18">
        <f t="shared" si="0"/>
        <v>0.55000000000000004</v>
      </c>
      <c r="G7" s="11">
        <f t="shared" ref="G7:G55" si="2">F7*G$5</f>
        <v>110.00000000000001</v>
      </c>
      <c r="H7" s="4">
        <v>56</v>
      </c>
      <c r="I7" s="16">
        <v>0</v>
      </c>
      <c r="J7" s="14"/>
      <c r="K7" s="14"/>
      <c r="O7" s="3"/>
      <c r="P7" s="3"/>
    </row>
    <row r="8" spans="2:16" x14ac:dyDescent="0.2">
      <c r="B8" t="s">
        <v>2</v>
      </c>
      <c r="C8">
        <v>30</v>
      </c>
      <c r="D8" t="s">
        <v>184</v>
      </c>
      <c r="E8" s="17">
        <f t="shared" si="1"/>
        <v>0.03</v>
      </c>
      <c r="F8" s="18">
        <f t="shared" si="0"/>
        <v>0.65999999999999992</v>
      </c>
      <c r="G8" s="11">
        <f t="shared" si="2"/>
        <v>131.99999999999997</v>
      </c>
      <c r="H8" s="4">
        <v>0</v>
      </c>
      <c r="I8" s="16">
        <v>0</v>
      </c>
      <c r="J8" s="14"/>
      <c r="K8" s="14"/>
      <c r="O8" s="3"/>
      <c r="P8" s="3"/>
    </row>
    <row r="9" spans="2:16" x14ac:dyDescent="0.2">
      <c r="B9" t="s">
        <v>3</v>
      </c>
      <c r="C9">
        <v>100</v>
      </c>
      <c r="D9" t="s">
        <v>184</v>
      </c>
      <c r="E9" s="17">
        <f t="shared" si="1"/>
        <v>0.1</v>
      </c>
      <c r="F9" s="18">
        <v>0.25</v>
      </c>
      <c r="G9" s="11">
        <f t="shared" si="2"/>
        <v>50</v>
      </c>
      <c r="H9" s="4">
        <v>0</v>
      </c>
      <c r="I9" s="16">
        <v>120</v>
      </c>
      <c r="J9" s="14"/>
      <c r="K9" s="14"/>
      <c r="O9" s="3"/>
      <c r="P9" s="3"/>
    </row>
    <row r="10" spans="2:16" x14ac:dyDescent="0.2">
      <c r="B10" t="s">
        <v>1</v>
      </c>
      <c r="C10">
        <v>30</v>
      </c>
      <c r="D10" t="s">
        <v>72</v>
      </c>
      <c r="E10" s="17">
        <f t="shared" si="1"/>
        <v>0.03</v>
      </c>
      <c r="F10" s="18">
        <f t="shared" si="0"/>
        <v>0.65999999999999992</v>
      </c>
      <c r="G10" s="11">
        <f t="shared" si="2"/>
        <v>131.99999999999997</v>
      </c>
      <c r="H10" s="4">
        <v>0</v>
      </c>
      <c r="I10" s="16">
        <v>200</v>
      </c>
      <c r="J10" s="14"/>
      <c r="K10" s="14"/>
      <c r="O10" s="3"/>
      <c r="P10" s="3"/>
    </row>
    <row r="11" spans="2:16" x14ac:dyDescent="0.2">
      <c r="B11" t="s">
        <v>128</v>
      </c>
      <c r="C11">
        <v>2.5</v>
      </c>
      <c r="D11" t="s">
        <v>184</v>
      </c>
      <c r="E11" s="17">
        <f t="shared" si="1"/>
        <v>2.5000000000000001E-3</v>
      </c>
      <c r="F11" s="18">
        <f t="shared" si="0"/>
        <v>5.5E-2</v>
      </c>
      <c r="G11" s="11">
        <f t="shared" si="2"/>
        <v>11</v>
      </c>
      <c r="H11" s="4">
        <v>0</v>
      </c>
      <c r="I11" s="16">
        <v>0</v>
      </c>
      <c r="J11" s="14"/>
      <c r="K11" s="14"/>
      <c r="O11" s="3"/>
      <c r="P11" s="3"/>
    </row>
    <row r="12" spans="2:16" x14ac:dyDescent="0.2">
      <c r="B12" t="s">
        <v>180</v>
      </c>
      <c r="C12">
        <v>2</v>
      </c>
      <c r="D12" t="s">
        <v>184</v>
      </c>
      <c r="E12" s="17">
        <f t="shared" si="1"/>
        <v>2E-3</v>
      </c>
      <c r="F12" s="18">
        <f t="shared" si="0"/>
        <v>4.3999999999999997E-2</v>
      </c>
      <c r="G12" s="11">
        <f t="shared" si="2"/>
        <v>8.7999999999999989</v>
      </c>
      <c r="H12" s="4">
        <v>0</v>
      </c>
      <c r="I12" s="16">
        <v>4</v>
      </c>
      <c r="J12" s="14"/>
      <c r="K12" s="14"/>
      <c r="O12" s="3"/>
      <c r="P12" s="3"/>
    </row>
    <row r="13" spans="2:16" x14ac:dyDescent="0.2">
      <c r="B13" t="s">
        <v>116</v>
      </c>
      <c r="C13">
        <v>10</v>
      </c>
      <c r="D13" t="s">
        <v>184</v>
      </c>
      <c r="E13" s="17">
        <f t="shared" si="1"/>
        <v>0.01</v>
      </c>
      <c r="F13" s="18">
        <f t="shared" si="0"/>
        <v>0.22</v>
      </c>
      <c r="G13" s="11">
        <f t="shared" si="2"/>
        <v>44</v>
      </c>
      <c r="H13" s="4">
        <v>0</v>
      </c>
      <c r="I13" s="16">
        <v>0</v>
      </c>
      <c r="J13" s="14"/>
      <c r="K13" s="14"/>
      <c r="O13" s="3"/>
      <c r="P13" s="3"/>
    </row>
    <row r="14" spans="2:16" x14ac:dyDescent="0.2">
      <c r="B14" t="s">
        <v>31</v>
      </c>
      <c r="C14">
        <v>50</v>
      </c>
      <c r="D14" t="s">
        <v>184</v>
      </c>
      <c r="E14" s="17">
        <f t="shared" si="1"/>
        <v>0.05</v>
      </c>
      <c r="F14" s="18">
        <f t="shared" si="0"/>
        <v>1.1000000000000001</v>
      </c>
      <c r="G14" s="11">
        <f t="shared" si="2"/>
        <v>220.00000000000003</v>
      </c>
      <c r="H14" s="4">
        <v>0</v>
      </c>
      <c r="I14" s="16">
        <v>20</v>
      </c>
      <c r="J14" s="14"/>
      <c r="K14" s="14"/>
      <c r="O14" s="3"/>
      <c r="P14" s="3"/>
    </row>
    <row r="15" spans="2:16" x14ac:dyDescent="0.2">
      <c r="B15" t="s">
        <v>19</v>
      </c>
      <c r="C15">
        <v>5</v>
      </c>
      <c r="D15" t="s">
        <v>184</v>
      </c>
      <c r="E15" s="17">
        <f t="shared" si="1"/>
        <v>5.0000000000000001E-3</v>
      </c>
      <c r="F15" s="18">
        <f t="shared" si="0"/>
        <v>0.11</v>
      </c>
      <c r="G15" s="11">
        <f t="shared" si="2"/>
        <v>22</v>
      </c>
      <c r="H15" s="4">
        <v>10</v>
      </c>
      <c r="I15" s="16">
        <v>5</v>
      </c>
      <c r="J15" s="14"/>
      <c r="K15" s="14"/>
      <c r="O15" s="3"/>
      <c r="P15" s="3"/>
    </row>
    <row r="16" spans="2:16" x14ac:dyDescent="0.2">
      <c r="B16" t="s">
        <v>4</v>
      </c>
      <c r="C16">
        <v>6</v>
      </c>
      <c r="D16" t="s">
        <v>184</v>
      </c>
      <c r="E16" s="17">
        <f t="shared" si="1"/>
        <v>6.0000000000000001E-3</v>
      </c>
      <c r="F16" s="18">
        <f t="shared" si="0"/>
        <v>0.13200000000000001</v>
      </c>
      <c r="G16" s="11">
        <f t="shared" si="2"/>
        <v>26.400000000000002</v>
      </c>
      <c r="H16" s="4">
        <v>0</v>
      </c>
      <c r="I16" s="16">
        <v>20</v>
      </c>
      <c r="J16" s="14"/>
      <c r="K16" s="14"/>
      <c r="O16" s="3"/>
      <c r="P16" s="3"/>
    </row>
    <row r="17" spans="2:16" x14ac:dyDescent="0.2">
      <c r="B17" t="s">
        <v>32</v>
      </c>
      <c r="C17">
        <v>0.2</v>
      </c>
      <c r="D17" t="s">
        <v>184</v>
      </c>
      <c r="E17" s="17">
        <f t="shared" si="1"/>
        <v>2.0000000000000001E-4</v>
      </c>
      <c r="F17" s="18">
        <f t="shared" si="0"/>
        <v>4.4000000000000003E-3</v>
      </c>
      <c r="G17" s="11">
        <f t="shared" si="2"/>
        <v>0.88</v>
      </c>
      <c r="H17" s="4">
        <v>0</v>
      </c>
      <c r="I17" s="16">
        <v>0</v>
      </c>
      <c r="J17" s="14"/>
      <c r="K17" s="14"/>
      <c r="O17" s="3"/>
      <c r="P17" s="3"/>
    </row>
    <row r="18" spans="2:16" x14ac:dyDescent="0.2">
      <c r="B18" t="s">
        <v>124</v>
      </c>
      <c r="C18">
        <v>60</v>
      </c>
      <c r="D18" t="s">
        <v>184</v>
      </c>
      <c r="E18" s="17">
        <f t="shared" si="1"/>
        <v>0.06</v>
      </c>
      <c r="F18" s="18">
        <f>((E18*1)*4)</f>
        <v>0.24</v>
      </c>
      <c r="G18" s="11">
        <f t="shared" si="2"/>
        <v>48</v>
      </c>
      <c r="H18" s="4">
        <v>0</v>
      </c>
      <c r="I18" s="16">
        <v>50</v>
      </c>
      <c r="J18" s="14"/>
      <c r="K18" s="14"/>
      <c r="O18" s="3"/>
      <c r="P18" s="3"/>
    </row>
    <row r="19" spans="2:16" x14ac:dyDescent="0.2">
      <c r="B19" t="s">
        <v>130</v>
      </c>
      <c r="C19">
        <v>6</v>
      </c>
      <c r="D19" t="s">
        <v>185</v>
      </c>
      <c r="E19" s="17">
        <f t="shared" si="1"/>
        <v>6.0000000000000001E-3</v>
      </c>
      <c r="F19" s="18">
        <f t="shared" si="0"/>
        <v>0.13200000000000001</v>
      </c>
      <c r="G19" s="11">
        <f t="shared" si="2"/>
        <v>26.400000000000002</v>
      </c>
      <c r="H19" s="4">
        <v>0</v>
      </c>
      <c r="I19" s="16">
        <v>0</v>
      </c>
      <c r="J19" s="14"/>
      <c r="K19" s="14"/>
      <c r="O19" s="3"/>
      <c r="P19" s="3"/>
    </row>
    <row r="20" spans="2:16" x14ac:dyDescent="0.2">
      <c r="B20" t="s">
        <v>131</v>
      </c>
      <c r="C20">
        <v>60</v>
      </c>
      <c r="D20" t="s">
        <v>186</v>
      </c>
      <c r="E20" s="17">
        <f t="shared" si="1"/>
        <v>0.06</v>
      </c>
      <c r="F20" s="18">
        <f t="shared" si="0"/>
        <v>1.3199999999999998</v>
      </c>
      <c r="G20" s="11">
        <f t="shared" si="2"/>
        <v>263.99999999999994</v>
      </c>
      <c r="H20" s="4">
        <v>0</v>
      </c>
      <c r="I20" s="16">
        <v>0</v>
      </c>
      <c r="J20" s="14"/>
      <c r="K20" s="14"/>
      <c r="O20" s="3"/>
      <c r="P20" s="3"/>
    </row>
    <row r="21" spans="2:16" x14ac:dyDescent="0.2">
      <c r="B21" t="s">
        <v>10</v>
      </c>
      <c r="C21">
        <v>10</v>
      </c>
      <c r="D21" t="s">
        <v>184</v>
      </c>
      <c r="E21" s="17">
        <f t="shared" si="1"/>
        <v>0.01</v>
      </c>
      <c r="F21" s="18">
        <f t="shared" si="0"/>
        <v>0.22</v>
      </c>
      <c r="G21" s="11">
        <f t="shared" si="2"/>
        <v>44</v>
      </c>
      <c r="H21" s="4">
        <v>0</v>
      </c>
      <c r="I21" s="16">
        <v>48</v>
      </c>
      <c r="J21" s="14"/>
      <c r="K21" s="14"/>
      <c r="O21" s="3"/>
      <c r="P21" s="3"/>
    </row>
    <row r="22" spans="2:16" x14ac:dyDescent="0.2">
      <c r="B22" t="s">
        <v>12</v>
      </c>
      <c r="C22">
        <v>60</v>
      </c>
      <c r="D22" t="s">
        <v>184</v>
      </c>
      <c r="E22" s="17">
        <f t="shared" si="1"/>
        <v>0.06</v>
      </c>
      <c r="F22" s="18">
        <f t="shared" si="0"/>
        <v>1.3199999999999998</v>
      </c>
      <c r="G22" s="11">
        <f t="shared" si="2"/>
        <v>263.99999999999994</v>
      </c>
      <c r="H22" s="4">
        <v>0</v>
      </c>
      <c r="I22" s="16">
        <v>0</v>
      </c>
      <c r="J22" s="14"/>
      <c r="K22" s="14"/>
      <c r="O22" s="3"/>
      <c r="P22" s="3"/>
    </row>
    <row r="23" spans="2:16" x14ac:dyDescent="0.2">
      <c r="B23" t="s">
        <v>78</v>
      </c>
      <c r="C23">
        <v>500</v>
      </c>
      <c r="D23" t="s">
        <v>184</v>
      </c>
      <c r="E23" s="17">
        <f t="shared" si="1"/>
        <v>0.5</v>
      </c>
      <c r="F23" s="18">
        <f t="shared" si="0"/>
        <v>11</v>
      </c>
      <c r="G23" s="11">
        <f t="shared" si="2"/>
        <v>2200</v>
      </c>
      <c r="H23" s="4">
        <v>0</v>
      </c>
      <c r="I23" s="16">
        <v>4</v>
      </c>
      <c r="J23" s="14"/>
      <c r="K23" s="14"/>
      <c r="O23" s="3"/>
      <c r="P23" s="3"/>
    </row>
    <row r="24" spans="2:16" x14ac:dyDescent="0.2">
      <c r="B24" t="s">
        <v>11</v>
      </c>
      <c r="C24">
        <v>2</v>
      </c>
      <c r="D24" t="s">
        <v>184</v>
      </c>
      <c r="E24" s="17">
        <f t="shared" si="1"/>
        <v>2E-3</v>
      </c>
      <c r="F24" s="18">
        <f t="shared" si="0"/>
        <v>4.3999999999999997E-2</v>
      </c>
      <c r="G24" s="11">
        <f t="shared" si="2"/>
        <v>8.7999999999999989</v>
      </c>
      <c r="H24" s="4">
        <v>0</v>
      </c>
      <c r="I24" s="16">
        <v>6</v>
      </c>
      <c r="J24" s="14"/>
      <c r="K24" s="14"/>
      <c r="O24" s="3"/>
      <c r="P24" s="3"/>
    </row>
    <row r="25" spans="2:16" x14ac:dyDescent="0.2">
      <c r="B25" t="s">
        <v>13</v>
      </c>
      <c r="C25">
        <v>25</v>
      </c>
      <c r="D25" t="s">
        <v>184</v>
      </c>
      <c r="E25" s="17">
        <f t="shared" si="1"/>
        <v>2.5000000000000001E-2</v>
      </c>
      <c r="F25" s="18">
        <v>0</v>
      </c>
      <c r="G25" s="11">
        <f t="shared" si="2"/>
        <v>0</v>
      </c>
      <c r="H25" s="4">
        <v>0</v>
      </c>
      <c r="I25" s="16">
        <v>4</v>
      </c>
      <c r="J25" s="14"/>
      <c r="K25" s="14"/>
      <c r="O25" s="3"/>
      <c r="P25" s="3"/>
    </row>
    <row r="26" spans="2:16" x14ac:dyDescent="0.2">
      <c r="B26" t="s">
        <v>14</v>
      </c>
      <c r="C26">
        <v>20</v>
      </c>
      <c r="D26" t="s">
        <v>184</v>
      </c>
      <c r="E26" s="17">
        <f t="shared" si="1"/>
        <v>0.02</v>
      </c>
      <c r="F26" s="18">
        <f t="shared" ref="F26:F62" si="3">((E26*5.5)*4)</f>
        <v>0.44</v>
      </c>
      <c r="G26" s="11">
        <f t="shared" si="2"/>
        <v>88</v>
      </c>
      <c r="H26" s="4">
        <v>0</v>
      </c>
      <c r="I26" s="16">
        <v>6</v>
      </c>
      <c r="J26" s="14"/>
      <c r="K26" s="14"/>
      <c r="O26" s="3"/>
      <c r="P26" s="3"/>
    </row>
    <row r="27" spans="2:16" x14ac:dyDescent="0.2">
      <c r="B27" t="s">
        <v>153</v>
      </c>
      <c r="C27">
        <v>10</v>
      </c>
      <c r="D27" t="s">
        <v>187</v>
      </c>
      <c r="E27" s="17">
        <f t="shared" si="1"/>
        <v>0.01</v>
      </c>
      <c r="F27" s="18">
        <f t="shared" si="3"/>
        <v>0.22</v>
      </c>
      <c r="G27" s="11">
        <f t="shared" si="2"/>
        <v>44</v>
      </c>
      <c r="H27" s="4">
        <v>0</v>
      </c>
      <c r="I27" s="16">
        <v>0</v>
      </c>
      <c r="J27" s="14"/>
      <c r="K27" s="14"/>
      <c r="O27" s="3"/>
      <c r="P27" s="3"/>
    </row>
    <row r="28" spans="2:16" x14ac:dyDescent="0.2">
      <c r="B28" t="s">
        <v>132</v>
      </c>
      <c r="C28">
        <v>10</v>
      </c>
      <c r="D28" t="s">
        <v>188</v>
      </c>
      <c r="E28" s="17">
        <f t="shared" si="1"/>
        <v>0.01</v>
      </c>
      <c r="F28" s="18">
        <f t="shared" si="3"/>
        <v>0.22</v>
      </c>
      <c r="G28" s="11">
        <f t="shared" si="2"/>
        <v>44</v>
      </c>
      <c r="H28" s="4">
        <v>0</v>
      </c>
      <c r="I28" s="16">
        <v>0</v>
      </c>
      <c r="J28" s="14"/>
      <c r="K28" s="14"/>
      <c r="O28" s="3"/>
      <c r="P28" s="3"/>
    </row>
    <row r="29" spans="2:16" x14ac:dyDescent="0.2">
      <c r="B29" t="s">
        <v>0</v>
      </c>
      <c r="C29">
        <v>30</v>
      </c>
      <c r="D29" t="s">
        <v>184</v>
      </c>
      <c r="E29" s="17">
        <f t="shared" si="1"/>
        <v>0.03</v>
      </c>
      <c r="F29" s="18">
        <f t="shared" si="3"/>
        <v>0.65999999999999992</v>
      </c>
      <c r="G29" s="11">
        <f t="shared" si="2"/>
        <v>131.99999999999997</v>
      </c>
      <c r="H29" s="4">
        <v>0</v>
      </c>
      <c r="I29" s="16">
        <v>0</v>
      </c>
      <c r="J29" s="14"/>
      <c r="K29" s="14"/>
      <c r="O29" s="3"/>
      <c r="P29" s="3"/>
    </row>
    <row r="30" spans="2:16" x14ac:dyDescent="0.2">
      <c r="B30" t="s">
        <v>36</v>
      </c>
      <c r="C30">
        <v>10</v>
      </c>
      <c r="D30" t="s">
        <v>184</v>
      </c>
      <c r="E30" s="17">
        <f t="shared" si="1"/>
        <v>0.01</v>
      </c>
      <c r="F30" s="18">
        <f t="shared" si="3"/>
        <v>0.22</v>
      </c>
      <c r="G30" s="11">
        <f t="shared" si="2"/>
        <v>44</v>
      </c>
      <c r="H30" s="4">
        <v>0</v>
      </c>
      <c r="I30" s="16">
        <v>0</v>
      </c>
      <c r="J30" s="14"/>
      <c r="K30" s="14"/>
      <c r="O30" s="3"/>
      <c r="P30" s="3"/>
    </row>
    <row r="31" spans="2:16" x14ac:dyDescent="0.2">
      <c r="B31" t="s">
        <v>117</v>
      </c>
      <c r="C31">
        <v>30</v>
      </c>
      <c r="D31" t="s">
        <v>184</v>
      </c>
      <c r="E31" s="17">
        <f t="shared" si="1"/>
        <v>0.03</v>
      </c>
      <c r="F31" s="18">
        <f t="shared" si="3"/>
        <v>0.65999999999999992</v>
      </c>
      <c r="G31" s="11">
        <f t="shared" si="2"/>
        <v>131.99999999999997</v>
      </c>
      <c r="H31" s="4">
        <v>0</v>
      </c>
      <c r="I31" s="16">
        <v>0</v>
      </c>
      <c r="J31" s="14"/>
      <c r="K31" s="14"/>
      <c r="O31" s="3"/>
      <c r="P31" s="3"/>
    </row>
    <row r="32" spans="2:16" x14ac:dyDescent="0.2">
      <c r="B32" t="s">
        <v>133</v>
      </c>
      <c r="E32" s="17">
        <f t="shared" si="1"/>
        <v>0</v>
      </c>
      <c r="F32" s="18">
        <f t="shared" si="3"/>
        <v>0</v>
      </c>
      <c r="G32" s="11">
        <f t="shared" si="2"/>
        <v>0</v>
      </c>
      <c r="H32" s="4">
        <v>0</v>
      </c>
      <c r="I32" s="16">
        <v>0</v>
      </c>
      <c r="J32" s="14"/>
      <c r="K32" s="14"/>
      <c r="O32" s="3"/>
      <c r="P32" s="3"/>
    </row>
    <row r="33" spans="2:16" x14ac:dyDescent="0.2">
      <c r="B33" t="s">
        <v>134</v>
      </c>
      <c r="C33">
        <v>30</v>
      </c>
      <c r="D33" t="s">
        <v>189</v>
      </c>
      <c r="E33" s="17">
        <f t="shared" si="1"/>
        <v>0.03</v>
      </c>
      <c r="F33" s="18">
        <f t="shared" si="3"/>
        <v>0.65999999999999992</v>
      </c>
      <c r="G33" s="11">
        <f t="shared" si="2"/>
        <v>131.99999999999997</v>
      </c>
      <c r="H33" s="4">
        <v>0</v>
      </c>
      <c r="I33" s="16">
        <v>0</v>
      </c>
      <c r="J33" s="14"/>
      <c r="K33" s="14"/>
      <c r="O33" s="3"/>
      <c r="P33" s="3"/>
    </row>
    <row r="34" spans="2:16" x14ac:dyDescent="0.2">
      <c r="B34" t="s">
        <v>119</v>
      </c>
      <c r="C34">
        <v>30</v>
      </c>
      <c r="D34" t="s">
        <v>183</v>
      </c>
      <c r="E34" s="17">
        <f t="shared" si="1"/>
        <v>0.03</v>
      </c>
      <c r="F34" s="18">
        <f t="shared" si="3"/>
        <v>0.65999999999999992</v>
      </c>
      <c r="G34" s="11">
        <f t="shared" si="2"/>
        <v>131.99999999999997</v>
      </c>
      <c r="H34" s="4">
        <v>0</v>
      </c>
      <c r="I34" s="16">
        <v>4</v>
      </c>
      <c r="J34" s="14"/>
      <c r="K34" s="14"/>
      <c r="O34" s="3"/>
      <c r="P34" s="3"/>
    </row>
    <row r="35" spans="2:16" x14ac:dyDescent="0.2">
      <c r="B35" t="s">
        <v>120</v>
      </c>
      <c r="C35">
        <v>30</v>
      </c>
      <c r="D35" t="s">
        <v>183</v>
      </c>
      <c r="E35" s="17">
        <f t="shared" si="1"/>
        <v>0.03</v>
      </c>
      <c r="F35" s="18">
        <f t="shared" si="3"/>
        <v>0.65999999999999992</v>
      </c>
      <c r="G35" s="11">
        <f t="shared" si="2"/>
        <v>131.99999999999997</v>
      </c>
      <c r="H35" s="4">
        <v>0</v>
      </c>
      <c r="I35" s="16">
        <v>0</v>
      </c>
      <c r="J35" s="14"/>
      <c r="K35" s="14"/>
      <c r="O35" s="3"/>
      <c r="P35" s="3"/>
    </row>
    <row r="36" spans="2:16" x14ac:dyDescent="0.2">
      <c r="B36" t="s">
        <v>30</v>
      </c>
      <c r="C36">
        <v>30</v>
      </c>
      <c r="D36" t="s">
        <v>190</v>
      </c>
      <c r="E36" s="17">
        <f t="shared" si="1"/>
        <v>0.03</v>
      </c>
      <c r="F36" s="18">
        <f t="shared" si="3"/>
        <v>0.65999999999999992</v>
      </c>
      <c r="G36" s="11">
        <f t="shared" si="2"/>
        <v>131.99999999999997</v>
      </c>
      <c r="H36" s="4">
        <v>0</v>
      </c>
      <c r="I36" s="16">
        <v>4</v>
      </c>
      <c r="J36" s="14"/>
      <c r="K36" s="14"/>
      <c r="O36" s="3"/>
      <c r="P36" s="3"/>
    </row>
    <row r="37" spans="2:16" x14ac:dyDescent="0.2">
      <c r="B37" t="s">
        <v>20</v>
      </c>
      <c r="C37">
        <v>30</v>
      </c>
      <c r="D37" t="s">
        <v>184</v>
      </c>
      <c r="E37" s="17">
        <f t="shared" si="1"/>
        <v>0.03</v>
      </c>
      <c r="F37" s="18">
        <f t="shared" si="3"/>
        <v>0.65999999999999992</v>
      </c>
      <c r="G37" s="11">
        <f t="shared" si="2"/>
        <v>131.99999999999997</v>
      </c>
      <c r="H37" s="4">
        <v>40</v>
      </c>
      <c r="I37" s="16">
        <v>1</v>
      </c>
      <c r="J37" s="14"/>
      <c r="K37" s="14"/>
      <c r="O37" s="3"/>
      <c r="P37" s="3"/>
    </row>
    <row r="38" spans="2:16" x14ac:dyDescent="0.2">
      <c r="B38" t="s">
        <v>6</v>
      </c>
      <c r="C38">
        <v>100</v>
      </c>
      <c r="D38" t="s">
        <v>184</v>
      </c>
      <c r="E38" s="17">
        <f t="shared" si="1"/>
        <v>0.1</v>
      </c>
      <c r="F38" s="18">
        <f t="shared" si="3"/>
        <v>2.2000000000000002</v>
      </c>
      <c r="G38" s="11">
        <f t="shared" si="2"/>
        <v>440.00000000000006</v>
      </c>
      <c r="H38" s="4">
        <v>0</v>
      </c>
      <c r="I38" s="16">
        <v>100</v>
      </c>
      <c r="J38" s="14"/>
      <c r="K38" s="14"/>
      <c r="O38" s="3"/>
      <c r="P38" s="3"/>
    </row>
    <row r="39" spans="2:16" x14ac:dyDescent="0.2">
      <c r="B39" t="s">
        <v>74</v>
      </c>
      <c r="C39">
        <v>1</v>
      </c>
      <c r="D39" t="s">
        <v>184</v>
      </c>
      <c r="E39" s="17">
        <f t="shared" si="1"/>
        <v>1E-3</v>
      </c>
      <c r="F39" s="18">
        <f t="shared" si="3"/>
        <v>2.1999999999999999E-2</v>
      </c>
      <c r="G39" s="11">
        <f t="shared" si="2"/>
        <v>4.3999999999999995</v>
      </c>
      <c r="H39" s="4">
        <v>0</v>
      </c>
      <c r="I39" s="16">
        <v>0</v>
      </c>
      <c r="J39" s="14"/>
      <c r="K39" s="14"/>
      <c r="O39" s="3"/>
      <c r="P39" s="3"/>
    </row>
    <row r="40" spans="2:16" x14ac:dyDescent="0.2">
      <c r="B40" t="s">
        <v>73</v>
      </c>
      <c r="C40">
        <v>10</v>
      </c>
      <c r="D40" t="s">
        <v>184</v>
      </c>
      <c r="E40" s="17">
        <f t="shared" si="1"/>
        <v>0.01</v>
      </c>
      <c r="F40" s="18">
        <f t="shared" si="3"/>
        <v>0.22</v>
      </c>
      <c r="G40" s="11">
        <f t="shared" si="2"/>
        <v>44</v>
      </c>
      <c r="H40" s="4">
        <f>STOCK!C40</f>
        <v>0</v>
      </c>
      <c r="I40" s="16">
        <v>0</v>
      </c>
      <c r="J40" s="14"/>
      <c r="K40" s="14"/>
      <c r="O40" s="3"/>
      <c r="P40" s="3"/>
    </row>
    <row r="41" spans="2:16" x14ac:dyDescent="0.2">
      <c r="B41" t="s">
        <v>75</v>
      </c>
      <c r="C41">
        <v>10</v>
      </c>
      <c r="D41" t="s">
        <v>184</v>
      </c>
      <c r="E41" s="17">
        <f t="shared" si="1"/>
        <v>0.01</v>
      </c>
      <c r="F41" s="18">
        <f t="shared" si="3"/>
        <v>0.22</v>
      </c>
      <c r="G41" s="11">
        <f t="shared" si="2"/>
        <v>44</v>
      </c>
      <c r="H41" s="4">
        <v>0</v>
      </c>
      <c r="I41" s="16">
        <v>0</v>
      </c>
      <c r="J41" s="14"/>
      <c r="K41" s="14"/>
      <c r="O41" s="3"/>
      <c r="P41" s="3"/>
    </row>
    <row r="42" spans="2:16" x14ac:dyDescent="0.2">
      <c r="B42" t="s">
        <v>29</v>
      </c>
      <c r="C42">
        <v>25</v>
      </c>
      <c r="D42" t="s">
        <v>184</v>
      </c>
      <c r="E42" s="17">
        <f t="shared" si="1"/>
        <v>2.5000000000000001E-2</v>
      </c>
      <c r="F42" s="18">
        <f t="shared" si="3"/>
        <v>0.55000000000000004</v>
      </c>
      <c r="G42" s="11">
        <f t="shared" si="2"/>
        <v>110.00000000000001</v>
      </c>
      <c r="H42" s="4">
        <v>0</v>
      </c>
      <c r="I42" s="16">
        <v>0</v>
      </c>
      <c r="J42" s="14"/>
      <c r="K42" s="14"/>
      <c r="O42" s="3"/>
      <c r="P42" s="3"/>
    </row>
    <row r="43" spans="2:16" x14ac:dyDescent="0.2">
      <c r="B43" t="s">
        <v>126</v>
      </c>
      <c r="C43">
        <v>30</v>
      </c>
      <c r="D43" t="s">
        <v>184</v>
      </c>
      <c r="E43" s="17">
        <f t="shared" si="1"/>
        <v>0.03</v>
      </c>
      <c r="F43" s="18">
        <f t="shared" si="3"/>
        <v>0.65999999999999992</v>
      </c>
      <c r="G43" s="11">
        <f t="shared" si="2"/>
        <v>131.99999999999997</v>
      </c>
      <c r="H43" s="4">
        <f>STOCK!C44</f>
        <v>0</v>
      </c>
      <c r="I43" s="16">
        <v>4</v>
      </c>
      <c r="J43" s="14"/>
      <c r="K43" s="14"/>
      <c r="O43" s="3"/>
      <c r="P43" s="3"/>
    </row>
    <row r="44" spans="2:16" x14ac:dyDescent="0.2">
      <c r="B44" t="s">
        <v>27</v>
      </c>
      <c r="C44">
        <v>30</v>
      </c>
      <c r="D44" t="s">
        <v>184</v>
      </c>
      <c r="E44" s="17">
        <f t="shared" si="1"/>
        <v>0.03</v>
      </c>
      <c r="F44" s="18">
        <f t="shared" si="3"/>
        <v>0.65999999999999992</v>
      </c>
      <c r="G44" s="11">
        <f t="shared" si="2"/>
        <v>131.99999999999997</v>
      </c>
      <c r="H44" s="4">
        <f>STOCK!C45</f>
        <v>0</v>
      </c>
      <c r="I44" s="16">
        <v>4</v>
      </c>
      <c r="J44" s="14"/>
      <c r="K44" s="14"/>
      <c r="O44" s="3"/>
      <c r="P44" s="3"/>
    </row>
    <row r="45" spans="2:16" x14ac:dyDescent="0.2">
      <c r="B45" t="s">
        <v>23</v>
      </c>
      <c r="C45">
        <v>30</v>
      </c>
      <c r="D45" t="s">
        <v>184</v>
      </c>
      <c r="E45" s="17">
        <f t="shared" si="1"/>
        <v>0.03</v>
      </c>
      <c r="F45" s="18">
        <f t="shared" si="3"/>
        <v>0.65999999999999992</v>
      </c>
      <c r="G45" s="11">
        <f t="shared" si="2"/>
        <v>131.99999999999997</v>
      </c>
      <c r="H45" s="4">
        <v>0</v>
      </c>
      <c r="I45" s="16">
        <v>15</v>
      </c>
      <c r="J45" s="14"/>
      <c r="K45" s="14"/>
      <c r="O45" s="3"/>
      <c r="P45" s="3"/>
    </row>
    <row r="46" spans="2:16" x14ac:dyDescent="0.2">
      <c r="B46" t="s">
        <v>22</v>
      </c>
      <c r="C46">
        <v>30</v>
      </c>
      <c r="D46" t="s">
        <v>184</v>
      </c>
      <c r="E46" s="17">
        <f t="shared" si="1"/>
        <v>0.03</v>
      </c>
      <c r="F46" s="18">
        <f t="shared" si="3"/>
        <v>0.65999999999999992</v>
      </c>
      <c r="G46" s="11">
        <f t="shared" si="2"/>
        <v>131.99999999999997</v>
      </c>
      <c r="H46" s="4">
        <f>STOCK!C49</f>
        <v>0</v>
      </c>
      <c r="I46" s="16">
        <v>15</v>
      </c>
      <c r="J46" s="14"/>
      <c r="K46" s="14"/>
      <c r="O46" s="3"/>
      <c r="P46" s="3"/>
    </row>
    <row r="47" spans="2:16" x14ac:dyDescent="0.2">
      <c r="B47" t="s">
        <v>24</v>
      </c>
      <c r="C47">
        <v>30</v>
      </c>
      <c r="D47" t="s">
        <v>184</v>
      </c>
      <c r="E47" s="17">
        <f t="shared" si="1"/>
        <v>0.03</v>
      </c>
      <c r="F47" s="18">
        <f t="shared" si="3"/>
        <v>0.65999999999999992</v>
      </c>
      <c r="G47" s="11">
        <f t="shared" si="2"/>
        <v>131.99999999999997</v>
      </c>
      <c r="H47" s="4">
        <f>STOCK!C50</f>
        <v>0</v>
      </c>
      <c r="I47" s="16">
        <v>15</v>
      </c>
      <c r="J47" s="14"/>
      <c r="K47" s="14"/>
      <c r="O47" s="3"/>
      <c r="P47" s="3"/>
    </row>
    <row r="48" spans="2:16" x14ac:dyDescent="0.2">
      <c r="B48" t="s">
        <v>25</v>
      </c>
      <c r="C48">
        <v>30</v>
      </c>
      <c r="D48" t="s">
        <v>184</v>
      </c>
      <c r="E48" s="17">
        <f t="shared" si="1"/>
        <v>0.03</v>
      </c>
      <c r="F48" s="18">
        <f t="shared" si="3"/>
        <v>0.65999999999999992</v>
      </c>
      <c r="G48" s="11">
        <f t="shared" si="2"/>
        <v>131.99999999999997</v>
      </c>
      <c r="H48" s="4">
        <f>STOCK!C51</f>
        <v>0</v>
      </c>
      <c r="I48" s="16">
        <v>15</v>
      </c>
      <c r="J48" s="14"/>
      <c r="K48" s="14"/>
      <c r="O48" s="3"/>
      <c r="P48" s="3"/>
    </row>
    <row r="49" spans="2:16" x14ac:dyDescent="0.2">
      <c r="B49" t="s">
        <v>34</v>
      </c>
      <c r="C49">
        <v>2</v>
      </c>
      <c r="D49" t="s">
        <v>184</v>
      </c>
      <c r="E49" s="17">
        <f t="shared" si="1"/>
        <v>2E-3</v>
      </c>
      <c r="F49" s="18">
        <f t="shared" si="3"/>
        <v>4.3999999999999997E-2</v>
      </c>
      <c r="G49" s="11">
        <f t="shared" si="2"/>
        <v>8.7999999999999989</v>
      </c>
      <c r="H49" s="4">
        <v>3</v>
      </c>
      <c r="I49" s="16">
        <v>0</v>
      </c>
      <c r="J49" s="14"/>
      <c r="K49" s="14"/>
      <c r="O49" s="3"/>
      <c r="P49" s="3"/>
    </row>
    <row r="50" spans="2:16" x14ac:dyDescent="0.2">
      <c r="B50" t="s">
        <v>33</v>
      </c>
      <c r="C50">
        <v>2</v>
      </c>
      <c r="D50" t="s">
        <v>184</v>
      </c>
      <c r="E50" s="17">
        <f t="shared" si="1"/>
        <v>2E-3</v>
      </c>
      <c r="F50" s="18">
        <f t="shared" si="3"/>
        <v>4.3999999999999997E-2</v>
      </c>
      <c r="G50" s="11">
        <f t="shared" si="2"/>
        <v>8.7999999999999989</v>
      </c>
      <c r="H50" s="4">
        <f>STOCK!C53</f>
        <v>0</v>
      </c>
      <c r="I50" s="16">
        <f>((G50-(G50/4)-H50))</f>
        <v>6.6</v>
      </c>
      <c r="J50" s="14"/>
      <c r="K50" s="14"/>
      <c r="O50" s="3"/>
      <c r="P50" s="3"/>
    </row>
    <row r="51" spans="2:16" x14ac:dyDescent="0.2">
      <c r="B51" t="s">
        <v>5</v>
      </c>
      <c r="C51">
        <v>100</v>
      </c>
      <c r="D51" t="s">
        <v>184</v>
      </c>
      <c r="E51" s="17">
        <f t="shared" si="1"/>
        <v>0.1</v>
      </c>
      <c r="F51" s="18">
        <f t="shared" si="3"/>
        <v>2.2000000000000002</v>
      </c>
      <c r="G51" s="11">
        <f t="shared" si="2"/>
        <v>440.00000000000006</v>
      </c>
      <c r="H51" s="4">
        <v>900</v>
      </c>
      <c r="I51" s="16">
        <v>0</v>
      </c>
      <c r="J51" s="14"/>
      <c r="K51" s="14"/>
      <c r="O51" s="3"/>
      <c r="P51" s="3"/>
    </row>
    <row r="52" spans="2:16" x14ac:dyDescent="0.2">
      <c r="B52" t="s">
        <v>138</v>
      </c>
      <c r="C52">
        <v>25</v>
      </c>
      <c r="D52" t="s">
        <v>184</v>
      </c>
      <c r="E52" s="17">
        <f t="shared" si="1"/>
        <v>2.5000000000000001E-2</v>
      </c>
      <c r="F52" s="18">
        <f t="shared" si="3"/>
        <v>0.55000000000000004</v>
      </c>
      <c r="G52" s="11">
        <f t="shared" si="2"/>
        <v>110.00000000000001</v>
      </c>
      <c r="H52" s="4">
        <v>2</v>
      </c>
      <c r="I52" s="16">
        <f>((G52-(G52/4)-H52))</f>
        <v>80.500000000000014</v>
      </c>
      <c r="J52" s="14"/>
      <c r="K52" s="14"/>
      <c r="O52" s="3"/>
      <c r="P52" s="3"/>
    </row>
    <row r="53" spans="2:16" x14ac:dyDescent="0.2">
      <c r="B53" t="s">
        <v>127</v>
      </c>
      <c r="C53">
        <v>10</v>
      </c>
      <c r="D53" t="s">
        <v>184</v>
      </c>
      <c r="E53" s="17">
        <f t="shared" si="1"/>
        <v>0.01</v>
      </c>
      <c r="F53" s="18">
        <f t="shared" si="3"/>
        <v>0.22</v>
      </c>
      <c r="G53" s="11">
        <f t="shared" si="2"/>
        <v>44</v>
      </c>
      <c r="H53" s="4">
        <f>STOCK!C56</f>
        <v>0</v>
      </c>
      <c r="I53" s="16">
        <v>50</v>
      </c>
      <c r="J53" s="14"/>
      <c r="K53" s="14"/>
      <c r="O53" s="3"/>
      <c r="P53" s="3"/>
    </row>
    <row r="54" spans="2:16" x14ac:dyDescent="0.2">
      <c r="B54" t="s">
        <v>8</v>
      </c>
      <c r="C54">
        <v>15</v>
      </c>
      <c r="D54" t="s">
        <v>184</v>
      </c>
      <c r="E54" s="17">
        <f t="shared" si="1"/>
        <v>1.4999999999999999E-2</v>
      </c>
      <c r="F54" s="18">
        <f t="shared" si="3"/>
        <v>0.32999999999999996</v>
      </c>
      <c r="G54" s="11">
        <f t="shared" si="2"/>
        <v>65.999999999999986</v>
      </c>
      <c r="H54" s="4">
        <f>STOCK!C57</f>
        <v>0</v>
      </c>
      <c r="I54" s="16">
        <v>72</v>
      </c>
      <c r="J54" s="14"/>
      <c r="K54" s="14"/>
      <c r="O54" s="3"/>
      <c r="P54" s="3"/>
    </row>
    <row r="55" spans="2:16" x14ac:dyDescent="0.2">
      <c r="B55" t="s">
        <v>16</v>
      </c>
      <c r="C55">
        <v>20</v>
      </c>
      <c r="D55" t="s">
        <v>184</v>
      </c>
      <c r="E55" s="17">
        <f t="shared" si="1"/>
        <v>0.02</v>
      </c>
      <c r="F55" s="18">
        <f t="shared" si="3"/>
        <v>0.44</v>
      </c>
      <c r="G55" s="11">
        <f t="shared" si="2"/>
        <v>88</v>
      </c>
      <c r="H55" s="4">
        <f>STOCK!C58</f>
        <v>0</v>
      </c>
      <c r="I55" s="16">
        <v>6</v>
      </c>
      <c r="J55" s="14"/>
      <c r="K55" s="14"/>
      <c r="O55" s="3"/>
      <c r="P55" s="3"/>
    </row>
    <row r="56" spans="2:16" x14ac:dyDescent="0.2">
      <c r="B56" t="s">
        <v>35</v>
      </c>
      <c r="C56">
        <v>20</v>
      </c>
      <c r="D56" t="s">
        <v>184</v>
      </c>
      <c r="E56" s="17">
        <f t="shared" si="1"/>
        <v>0.02</v>
      </c>
      <c r="F56" s="18">
        <f t="shared" si="3"/>
        <v>0.44</v>
      </c>
      <c r="H56" s="4">
        <v>0</v>
      </c>
      <c r="I56" s="16">
        <f>((G56-(G56/4)-H56))</f>
        <v>0</v>
      </c>
      <c r="J56" s="14"/>
      <c r="K56" s="14"/>
      <c r="O56" s="3"/>
      <c r="P56" s="3"/>
    </row>
    <row r="57" spans="2:16" x14ac:dyDescent="0.2">
      <c r="B57" t="s">
        <v>136</v>
      </c>
      <c r="C57">
        <v>20</v>
      </c>
      <c r="D57" t="s">
        <v>184</v>
      </c>
      <c r="E57" s="17">
        <f t="shared" si="1"/>
        <v>0.02</v>
      </c>
      <c r="F57" s="18">
        <f t="shared" si="3"/>
        <v>0.44</v>
      </c>
      <c r="H57" s="4">
        <f>STOCK!C60</f>
        <v>0</v>
      </c>
      <c r="I57" s="16">
        <v>50</v>
      </c>
      <c r="J57" s="14"/>
      <c r="K57" s="14"/>
      <c r="O57" s="3"/>
      <c r="P57" s="3"/>
    </row>
    <row r="58" spans="2:16" x14ac:dyDescent="0.2">
      <c r="B58" t="s">
        <v>137</v>
      </c>
      <c r="C58">
        <v>15</v>
      </c>
      <c r="D58" t="s">
        <v>184</v>
      </c>
      <c r="E58" s="17">
        <f t="shared" si="1"/>
        <v>1.4999999999999999E-2</v>
      </c>
      <c r="F58" s="18">
        <f t="shared" si="3"/>
        <v>0.32999999999999996</v>
      </c>
      <c r="H58" s="4">
        <v>0</v>
      </c>
      <c r="I58" s="16">
        <v>1</v>
      </c>
      <c r="J58" s="14"/>
      <c r="K58" s="14"/>
      <c r="O58" s="3"/>
      <c r="P58" s="3"/>
    </row>
    <row r="59" spans="2:16" x14ac:dyDescent="0.2">
      <c r="B59" t="s">
        <v>139</v>
      </c>
      <c r="C59">
        <v>15</v>
      </c>
      <c r="D59" t="s">
        <v>191</v>
      </c>
      <c r="E59" s="17">
        <f t="shared" si="1"/>
        <v>1.4999999999999999E-2</v>
      </c>
      <c r="F59" s="18">
        <f t="shared" si="3"/>
        <v>0.32999999999999996</v>
      </c>
      <c r="H59" s="4">
        <f>STOCK!C62</f>
        <v>0</v>
      </c>
      <c r="I59" s="16">
        <f>((G59-(G59/4)-H59))</f>
        <v>0</v>
      </c>
      <c r="J59" s="14"/>
      <c r="K59" s="14"/>
      <c r="O59" s="3"/>
      <c r="P59" s="3"/>
    </row>
    <row r="60" spans="2:16" x14ac:dyDescent="0.2">
      <c r="B60" t="s">
        <v>18</v>
      </c>
      <c r="C60">
        <v>1</v>
      </c>
      <c r="D60" t="s">
        <v>192</v>
      </c>
      <c r="E60" s="17">
        <f t="shared" si="1"/>
        <v>1E-3</v>
      </c>
      <c r="F60" s="18">
        <f t="shared" si="3"/>
        <v>2.1999999999999999E-2</v>
      </c>
      <c r="H60" s="4">
        <v>0</v>
      </c>
      <c r="I60" s="16">
        <v>2</v>
      </c>
      <c r="J60" s="14"/>
      <c r="K60" s="14"/>
      <c r="O60" s="3"/>
      <c r="P60" s="3"/>
    </row>
    <row r="61" spans="2:16" x14ac:dyDescent="0.2">
      <c r="B61" t="s">
        <v>76</v>
      </c>
      <c r="C61">
        <v>25</v>
      </c>
      <c r="D61" t="s">
        <v>184</v>
      </c>
      <c r="E61" s="17">
        <f t="shared" si="1"/>
        <v>2.5000000000000001E-2</v>
      </c>
      <c r="F61" s="18">
        <f t="shared" si="3"/>
        <v>0.55000000000000004</v>
      </c>
      <c r="H61" s="4">
        <v>0</v>
      </c>
      <c r="I61" s="16">
        <f>((G61-(G61/4)-H61))</f>
        <v>0</v>
      </c>
      <c r="J61" s="14"/>
      <c r="K61" s="14"/>
      <c r="O61" s="3"/>
      <c r="P61" s="3"/>
    </row>
    <row r="62" spans="2:16" x14ac:dyDescent="0.2">
      <c r="B62" t="s">
        <v>21</v>
      </c>
      <c r="C62">
        <v>15</v>
      </c>
      <c r="D62" t="s">
        <v>183</v>
      </c>
      <c r="E62" s="17">
        <f t="shared" si="1"/>
        <v>1.4999999999999999E-2</v>
      </c>
      <c r="F62" s="18">
        <f t="shared" si="3"/>
        <v>0.32999999999999996</v>
      </c>
      <c r="H62" s="4">
        <f>STOCK!C66</f>
        <v>0</v>
      </c>
      <c r="I62" s="16">
        <f>((G62-(G62/4)-H62))</f>
        <v>0</v>
      </c>
      <c r="J62" s="14"/>
      <c r="K62" s="14"/>
      <c r="O62" s="3"/>
      <c r="P62" s="3"/>
    </row>
    <row r="63" spans="2:16" x14ac:dyDescent="0.2">
      <c r="E63" s="17"/>
      <c r="I63" s="10">
        <f>G63-H63</f>
        <v>0</v>
      </c>
    </row>
    <row r="64" spans="2:16" x14ac:dyDescent="0.2">
      <c r="I64" s="10">
        <f>G64-H64</f>
        <v>0</v>
      </c>
    </row>
    <row r="65" spans="2:12" x14ac:dyDescent="0.2">
      <c r="I65" s="10">
        <f>G65-H65</f>
        <v>0</v>
      </c>
    </row>
    <row r="66" spans="2:12" x14ac:dyDescent="0.2">
      <c r="B66" s="3"/>
      <c r="I66" s="10">
        <f>G66-H66</f>
        <v>0</v>
      </c>
    </row>
    <row r="67" spans="2:12" x14ac:dyDescent="0.2">
      <c r="I67" s="10">
        <f>G67-H67</f>
        <v>0</v>
      </c>
      <c r="J67" t="s">
        <v>162</v>
      </c>
    </row>
    <row r="68" spans="2:12" x14ac:dyDescent="0.2">
      <c r="B68" t="s">
        <v>156</v>
      </c>
      <c r="G68" t="s">
        <v>94</v>
      </c>
      <c r="H68">
        <v>122</v>
      </c>
      <c r="I68" s="3">
        <v>1</v>
      </c>
      <c r="J68" t="s">
        <v>90</v>
      </c>
      <c r="K68" s="3">
        <v>0</v>
      </c>
      <c r="L68">
        <v>0</v>
      </c>
    </row>
    <row r="69" spans="2:12" x14ac:dyDescent="0.2">
      <c r="B69" t="s">
        <v>157</v>
      </c>
      <c r="F69">
        <v>10</v>
      </c>
      <c r="G69" t="s">
        <v>140</v>
      </c>
      <c r="H69">
        <v>25</v>
      </c>
      <c r="I69" s="3">
        <v>1</v>
      </c>
      <c r="K69" s="3">
        <v>0</v>
      </c>
      <c r="L69">
        <v>0</v>
      </c>
    </row>
    <row r="70" spans="2:12" x14ac:dyDescent="0.2">
      <c r="B70" t="s">
        <v>155</v>
      </c>
      <c r="F70">
        <v>500</v>
      </c>
      <c r="G70" t="s">
        <v>141</v>
      </c>
      <c r="H70">
        <v>10</v>
      </c>
      <c r="I70" s="3">
        <v>20000</v>
      </c>
      <c r="J70" t="s">
        <v>142</v>
      </c>
      <c r="K70" s="3">
        <v>0</v>
      </c>
      <c r="L70">
        <v>0</v>
      </c>
    </row>
    <row r="71" spans="2:12" x14ac:dyDescent="0.2">
      <c r="B71" t="s">
        <v>147</v>
      </c>
      <c r="F71">
        <v>2</v>
      </c>
      <c r="G71" t="s">
        <v>144</v>
      </c>
      <c r="H71">
        <v>10</v>
      </c>
      <c r="I71" s="3">
        <v>0</v>
      </c>
      <c r="J71" t="s">
        <v>142</v>
      </c>
      <c r="K71" s="3">
        <v>0</v>
      </c>
      <c r="L71">
        <v>0</v>
      </c>
    </row>
    <row r="72" spans="2:12" x14ac:dyDescent="0.2">
      <c r="B72" t="s">
        <v>140</v>
      </c>
      <c r="F72">
        <v>4</v>
      </c>
      <c r="G72" t="s">
        <v>82</v>
      </c>
      <c r="H72">
        <v>92</v>
      </c>
      <c r="I72" s="3">
        <v>4</v>
      </c>
      <c r="J72" t="s">
        <v>142</v>
      </c>
      <c r="K72" s="3">
        <v>0</v>
      </c>
      <c r="L72">
        <v>0</v>
      </c>
    </row>
    <row r="73" spans="2:12" x14ac:dyDescent="0.2">
      <c r="B73" t="s">
        <v>94</v>
      </c>
      <c r="F73">
        <v>4</v>
      </c>
      <c r="G73" t="s">
        <v>81</v>
      </c>
      <c r="H73">
        <v>173</v>
      </c>
      <c r="I73" s="3">
        <v>1</v>
      </c>
      <c r="J73" t="s">
        <v>143</v>
      </c>
      <c r="K73" s="3">
        <v>0</v>
      </c>
      <c r="L73">
        <v>5</v>
      </c>
    </row>
    <row r="74" spans="2:12" x14ac:dyDescent="0.2">
      <c r="B74" t="s">
        <v>145</v>
      </c>
      <c r="F74">
        <v>2</v>
      </c>
      <c r="G74" t="s">
        <v>80</v>
      </c>
      <c r="H74">
        <v>0</v>
      </c>
      <c r="I74" s="3">
        <v>2</v>
      </c>
      <c r="J74" t="s">
        <v>121</v>
      </c>
      <c r="K74" s="3">
        <v>0</v>
      </c>
      <c r="L74">
        <v>0</v>
      </c>
    </row>
    <row r="75" spans="2:12" x14ac:dyDescent="0.2">
      <c r="B75" t="s">
        <v>93</v>
      </c>
      <c r="F75">
        <v>1</v>
      </c>
      <c r="G75" t="s">
        <v>151</v>
      </c>
      <c r="H75">
        <v>10</v>
      </c>
      <c r="I75" s="3">
        <v>6</v>
      </c>
      <c r="J75" t="s">
        <v>154</v>
      </c>
      <c r="K75" s="3">
        <v>0</v>
      </c>
      <c r="L75">
        <v>0</v>
      </c>
    </row>
    <row r="76" spans="2:12" x14ac:dyDescent="0.2">
      <c r="B76" t="s">
        <v>92</v>
      </c>
      <c r="F76">
        <v>18</v>
      </c>
      <c r="G76" t="s">
        <v>84</v>
      </c>
      <c r="H76">
        <v>55</v>
      </c>
      <c r="I76" s="3">
        <v>0</v>
      </c>
      <c r="J76" t="s">
        <v>154</v>
      </c>
      <c r="K76" s="3">
        <v>0</v>
      </c>
      <c r="L76">
        <v>0</v>
      </c>
    </row>
    <row r="77" spans="2:12" x14ac:dyDescent="0.2">
      <c r="B77" t="s">
        <v>141</v>
      </c>
      <c r="F77">
        <v>5</v>
      </c>
      <c r="G77" t="s">
        <v>85</v>
      </c>
      <c r="H77">
        <v>136</v>
      </c>
      <c r="I77" s="3">
        <v>6</v>
      </c>
      <c r="J77" t="s">
        <v>154</v>
      </c>
      <c r="K77" s="3">
        <v>0</v>
      </c>
      <c r="L77">
        <v>4</v>
      </c>
    </row>
    <row r="78" spans="2:12" x14ac:dyDescent="0.2">
      <c r="B78" t="s">
        <v>82</v>
      </c>
      <c r="F78">
        <v>0</v>
      </c>
      <c r="G78" t="s">
        <v>92</v>
      </c>
      <c r="H78">
        <v>15</v>
      </c>
      <c r="I78" s="3">
        <v>0</v>
      </c>
      <c r="J78" t="s">
        <v>154</v>
      </c>
      <c r="K78" s="3">
        <v>0</v>
      </c>
      <c r="L78">
        <v>0</v>
      </c>
    </row>
    <row r="79" spans="2:12" x14ac:dyDescent="0.2">
      <c r="B79" t="s">
        <v>144</v>
      </c>
      <c r="F79">
        <v>4</v>
      </c>
      <c r="G79" t="s">
        <v>93</v>
      </c>
      <c r="H79">
        <v>0</v>
      </c>
      <c r="I79" s="3">
        <v>4</v>
      </c>
      <c r="J79" t="s">
        <v>154</v>
      </c>
      <c r="K79" s="3">
        <v>0</v>
      </c>
      <c r="L79">
        <v>10</v>
      </c>
    </row>
    <row r="80" spans="2:12" x14ac:dyDescent="0.2">
      <c r="B80" t="s">
        <v>152</v>
      </c>
      <c r="F80">
        <v>0</v>
      </c>
      <c r="G80" t="s">
        <v>145</v>
      </c>
      <c r="H80">
        <v>72</v>
      </c>
      <c r="I80" s="3">
        <v>0</v>
      </c>
      <c r="J80" t="s">
        <v>146</v>
      </c>
      <c r="K80" s="3">
        <v>0</v>
      </c>
      <c r="L80">
        <v>0</v>
      </c>
    </row>
    <row r="81" spans="2:12" x14ac:dyDescent="0.2">
      <c r="B81" t="s">
        <v>81</v>
      </c>
      <c r="F81">
        <v>15</v>
      </c>
      <c r="G81" t="s">
        <v>147</v>
      </c>
      <c r="H81">
        <v>5</v>
      </c>
      <c r="I81" s="3">
        <v>0</v>
      </c>
      <c r="J81" t="s">
        <v>142</v>
      </c>
      <c r="K81" s="3">
        <v>0</v>
      </c>
      <c r="L81">
        <v>0</v>
      </c>
    </row>
    <row r="82" spans="2:12" x14ac:dyDescent="0.2">
      <c r="B82" t="s">
        <v>80</v>
      </c>
      <c r="F82">
        <v>1</v>
      </c>
      <c r="G82" t="s">
        <v>148</v>
      </c>
      <c r="H82">
        <v>59</v>
      </c>
      <c r="I82" s="3">
        <v>2</v>
      </c>
      <c r="J82" t="s">
        <v>146</v>
      </c>
      <c r="K82" s="3">
        <v>0</v>
      </c>
      <c r="L82">
        <v>2</v>
      </c>
    </row>
    <row r="83" spans="2:12" x14ac:dyDescent="0.2">
      <c r="B83" t="s">
        <v>151</v>
      </c>
      <c r="F83">
        <v>1</v>
      </c>
      <c r="G83" t="s">
        <v>149</v>
      </c>
      <c r="H83">
        <v>40</v>
      </c>
      <c r="I83" s="3">
        <v>0</v>
      </c>
      <c r="J83" t="s">
        <v>121</v>
      </c>
      <c r="K83" s="3">
        <v>0</v>
      </c>
      <c r="L83">
        <v>0</v>
      </c>
    </row>
    <row r="84" spans="2:12" x14ac:dyDescent="0.2">
      <c r="B84" t="s">
        <v>149</v>
      </c>
      <c r="F84">
        <v>1</v>
      </c>
      <c r="G84" t="s">
        <v>150</v>
      </c>
      <c r="H84">
        <v>9</v>
      </c>
      <c r="I84" s="3">
        <v>0</v>
      </c>
      <c r="J84" t="s">
        <v>154</v>
      </c>
      <c r="K84" s="3">
        <v>0</v>
      </c>
      <c r="L84">
        <v>0</v>
      </c>
    </row>
    <row r="85" spans="2:12" x14ac:dyDescent="0.2">
      <c r="B85" t="s">
        <v>148</v>
      </c>
      <c r="F85">
        <v>1</v>
      </c>
      <c r="G85" t="s">
        <v>152</v>
      </c>
      <c r="H85">
        <v>0</v>
      </c>
      <c r="I85" s="3">
        <v>2</v>
      </c>
      <c r="J85" t="s">
        <v>142</v>
      </c>
      <c r="K85" s="3">
        <v>0</v>
      </c>
      <c r="L85">
        <v>0</v>
      </c>
    </row>
    <row r="86" spans="2:12" x14ac:dyDescent="0.2">
      <c r="B86" t="s">
        <v>150</v>
      </c>
      <c r="F86">
        <v>2</v>
      </c>
      <c r="G86" t="s">
        <v>155</v>
      </c>
      <c r="H86">
        <v>4500</v>
      </c>
      <c r="I86" s="3">
        <v>0</v>
      </c>
      <c r="J86" t="s">
        <v>154</v>
      </c>
      <c r="K86" s="3">
        <v>0</v>
      </c>
      <c r="L86">
        <v>5</v>
      </c>
    </row>
    <row r="87" spans="2:12" x14ac:dyDescent="0.2">
      <c r="B87" t="s">
        <v>84</v>
      </c>
      <c r="F87">
        <v>50</v>
      </c>
      <c r="G87" t="s">
        <v>156</v>
      </c>
      <c r="H87">
        <v>2640</v>
      </c>
      <c r="I87" s="3">
        <v>0</v>
      </c>
      <c r="J87" t="s">
        <v>154</v>
      </c>
      <c r="K87" s="3">
        <v>0</v>
      </c>
      <c r="L87">
        <v>0</v>
      </c>
    </row>
    <row r="88" spans="2:12" x14ac:dyDescent="0.2">
      <c r="B88" t="s">
        <v>85</v>
      </c>
      <c r="F88">
        <v>4</v>
      </c>
      <c r="G88" t="s">
        <v>157</v>
      </c>
      <c r="H88">
        <v>4720</v>
      </c>
      <c r="I88" s="3">
        <v>0</v>
      </c>
      <c r="J88" t="s">
        <v>154</v>
      </c>
      <c r="K88" s="3">
        <v>0</v>
      </c>
      <c r="L88">
        <v>2</v>
      </c>
    </row>
    <row r="89" spans="2:12" x14ac:dyDescent="0.2">
      <c r="B89" t="s">
        <v>171</v>
      </c>
      <c r="F89">
        <v>1</v>
      </c>
      <c r="I89" s="3">
        <v>0</v>
      </c>
      <c r="K89" s="3">
        <v>0</v>
      </c>
      <c r="L89">
        <v>2</v>
      </c>
    </row>
    <row r="90" spans="2:12" x14ac:dyDescent="0.2">
      <c r="B90" t="s">
        <v>172</v>
      </c>
      <c r="F90">
        <v>1</v>
      </c>
      <c r="I90" s="3">
        <v>2</v>
      </c>
      <c r="K90" s="3">
        <v>0</v>
      </c>
      <c r="L90">
        <v>0</v>
      </c>
    </row>
    <row r="91" spans="2:12" x14ac:dyDescent="0.2">
      <c r="B91" t="s">
        <v>173</v>
      </c>
      <c r="I91" s="3">
        <v>0</v>
      </c>
      <c r="J91" s="3">
        <v>0</v>
      </c>
      <c r="K91" s="3">
        <v>0</v>
      </c>
      <c r="L91">
        <v>0</v>
      </c>
    </row>
  </sheetData>
  <mergeCells count="2">
    <mergeCell ref="O4:P4"/>
    <mergeCell ref="C4:E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K90"/>
  <sheetViews>
    <sheetView workbookViewId="0">
      <selection activeCell="H27" sqref="H27"/>
    </sheetView>
  </sheetViews>
  <sheetFormatPr baseColWidth="10" defaultRowHeight="12.75" x14ac:dyDescent="0.2"/>
  <cols>
    <col min="1" max="1" width="5.85546875" customWidth="1"/>
    <col min="2" max="2" width="17.85546875" customWidth="1"/>
  </cols>
  <sheetData>
    <row r="2" spans="2:11" x14ac:dyDescent="0.2">
      <c r="B2" s="3" t="s">
        <v>71</v>
      </c>
      <c r="I2" s="8">
        <v>40450</v>
      </c>
    </row>
    <row r="3" spans="2:11" x14ac:dyDescent="0.2">
      <c r="B3" s="3"/>
      <c r="I3" s="8"/>
    </row>
    <row r="4" spans="2:11" x14ac:dyDescent="0.2">
      <c r="C4" s="26" t="s">
        <v>193</v>
      </c>
      <c r="D4" s="26"/>
      <c r="E4" s="26"/>
      <c r="F4" t="s">
        <v>95</v>
      </c>
      <c r="G4" t="s">
        <v>95</v>
      </c>
    </row>
    <row r="5" spans="2:11" x14ac:dyDescent="0.2">
      <c r="C5" s="20" t="s">
        <v>194</v>
      </c>
      <c r="D5" t="s">
        <v>196</v>
      </c>
      <c r="E5" s="6" t="s">
        <v>195</v>
      </c>
      <c r="F5">
        <v>1</v>
      </c>
      <c r="G5">
        <v>200</v>
      </c>
      <c r="H5" t="s">
        <v>77</v>
      </c>
      <c r="I5" s="3"/>
      <c r="J5" s="19"/>
    </row>
    <row r="6" spans="2:11" x14ac:dyDescent="0.2">
      <c r="B6" t="s">
        <v>9</v>
      </c>
      <c r="C6">
        <v>20</v>
      </c>
      <c r="D6" t="s">
        <v>183</v>
      </c>
      <c r="E6" s="17">
        <f>((C6)/1000)</f>
        <v>0.02</v>
      </c>
      <c r="F6" s="18">
        <f t="shared" ref="F6:F23" si="0">((E6*5.5)*4)</f>
        <v>0.44</v>
      </c>
      <c r="G6" s="11">
        <f>F6*G$5</f>
        <v>88</v>
      </c>
      <c r="H6" s="4">
        <v>20</v>
      </c>
      <c r="I6" s="16"/>
      <c r="J6" s="23"/>
      <c r="K6" s="10"/>
    </row>
    <row r="7" spans="2:11" x14ac:dyDescent="0.2">
      <c r="B7" t="s">
        <v>206</v>
      </c>
      <c r="C7">
        <v>25</v>
      </c>
      <c r="D7" t="s">
        <v>184</v>
      </c>
      <c r="E7" s="17">
        <f t="shared" ref="E7:E61" si="1">((C7)/1000)</f>
        <v>2.5000000000000001E-2</v>
      </c>
      <c r="F7" s="18">
        <f t="shared" si="0"/>
        <v>0.55000000000000004</v>
      </c>
      <c r="G7" s="11">
        <f t="shared" ref="G7:G54" si="2">F7*G$5</f>
        <v>110.00000000000001</v>
      </c>
      <c r="H7" s="4">
        <v>10</v>
      </c>
      <c r="I7" s="16"/>
      <c r="J7" s="23"/>
      <c r="K7" s="10"/>
    </row>
    <row r="8" spans="2:11" x14ac:dyDescent="0.2">
      <c r="B8" t="s">
        <v>123</v>
      </c>
      <c r="C8">
        <v>30</v>
      </c>
      <c r="D8" t="s">
        <v>184</v>
      </c>
      <c r="E8" s="17">
        <f t="shared" si="1"/>
        <v>0.03</v>
      </c>
      <c r="F8" s="18">
        <f t="shared" si="0"/>
        <v>0.65999999999999992</v>
      </c>
      <c r="G8" s="11">
        <f t="shared" si="2"/>
        <v>131.99999999999997</v>
      </c>
      <c r="H8" s="4">
        <v>94</v>
      </c>
      <c r="I8" s="16" t="s">
        <v>207</v>
      </c>
      <c r="J8" s="23"/>
      <c r="K8" s="10"/>
    </row>
    <row r="9" spans="2:11" x14ac:dyDescent="0.2">
      <c r="B9" t="s">
        <v>3</v>
      </c>
      <c r="C9">
        <v>100</v>
      </c>
      <c r="D9" t="s">
        <v>184</v>
      </c>
      <c r="E9" s="17">
        <f t="shared" si="1"/>
        <v>0.1</v>
      </c>
      <c r="F9" s="18">
        <v>0.25</v>
      </c>
      <c r="G9" s="11">
        <f t="shared" si="2"/>
        <v>50</v>
      </c>
      <c r="H9" s="4">
        <v>116</v>
      </c>
      <c r="I9" s="16"/>
      <c r="J9" s="23"/>
      <c r="K9" s="10"/>
    </row>
    <row r="10" spans="2:11" x14ac:dyDescent="0.2">
      <c r="B10" t="s">
        <v>1</v>
      </c>
      <c r="C10">
        <v>30</v>
      </c>
      <c r="D10" t="s">
        <v>72</v>
      </c>
      <c r="E10" s="17">
        <f t="shared" si="1"/>
        <v>0.03</v>
      </c>
      <c r="F10" s="18">
        <f t="shared" si="0"/>
        <v>0.65999999999999992</v>
      </c>
      <c r="G10" s="11">
        <f t="shared" si="2"/>
        <v>131.99999999999997</v>
      </c>
      <c r="H10" s="4">
        <v>245</v>
      </c>
      <c r="I10" s="16"/>
      <c r="J10" s="23"/>
      <c r="K10" s="10"/>
    </row>
    <row r="11" spans="2:11" x14ac:dyDescent="0.2">
      <c r="B11" t="s">
        <v>128</v>
      </c>
      <c r="C11">
        <v>2.5</v>
      </c>
      <c r="D11" t="s">
        <v>184</v>
      </c>
      <c r="E11" s="17">
        <f t="shared" si="1"/>
        <v>2.5000000000000001E-3</v>
      </c>
      <c r="F11" s="18">
        <f t="shared" si="0"/>
        <v>5.5E-2</v>
      </c>
      <c r="G11" s="11">
        <f t="shared" si="2"/>
        <v>11</v>
      </c>
      <c r="H11" s="4">
        <v>86</v>
      </c>
      <c r="I11" s="16"/>
      <c r="J11" s="23"/>
      <c r="K11" s="10"/>
    </row>
    <row r="12" spans="2:11" x14ac:dyDescent="0.2">
      <c r="B12" t="s">
        <v>116</v>
      </c>
      <c r="C12">
        <v>10</v>
      </c>
      <c r="D12" t="s">
        <v>184</v>
      </c>
      <c r="E12" s="17">
        <f t="shared" si="1"/>
        <v>0.01</v>
      </c>
      <c r="F12" s="18">
        <f t="shared" si="0"/>
        <v>0.22</v>
      </c>
      <c r="G12" s="11">
        <f t="shared" si="2"/>
        <v>44</v>
      </c>
      <c r="H12" s="4">
        <v>27</v>
      </c>
      <c r="I12" s="16"/>
      <c r="J12" s="23"/>
      <c r="K12" s="10"/>
    </row>
    <row r="13" spans="2:11" x14ac:dyDescent="0.2">
      <c r="B13" t="s">
        <v>31</v>
      </c>
      <c r="C13">
        <v>50</v>
      </c>
      <c r="D13" t="s">
        <v>184</v>
      </c>
      <c r="E13" s="17">
        <f t="shared" si="1"/>
        <v>0.05</v>
      </c>
      <c r="F13" s="18">
        <f t="shared" si="0"/>
        <v>1.1000000000000001</v>
      </c>
      <c r="G13" s="11">
        <f t="shared" si="2"/>
        <v>220.00000000000003</v>
      </c>
      <c r="H13" s="4">
        <v>45</v>
      </c>
      <c r="I13" s="16" t="s">
        <v>208</v>
      </c>
      <c r="J13" s="23"/>
      <c r="K13" s="10"/>
    </row>
    <row r="14" spans="2:11" x14ac:dyDescent="0.2">
      <c r="B14" t="s">
        <v>19</v>
      </c>
      <c r="C14">
        <v>5</v>
      </c>
      <c r="D14" t="s">
        <v>184</v>
      </c>
      <c r="E14" s="17">
        <f t="shared" si="1"/>
        <v>5.0000000000000001E-3</v>
      </c>
      <c r="F14" s="18">
        <f t="shared" si="0"/>
        <v>0.11</v>
      </c>
      <c r="G14" s="11">
        <f t="shared" si="2"/>
        <v>22</v>
      </c>
      <c r="H14" s="4">
        <v>7.5</v>
      </c>
      <c r="I14" s="16"/>
      <c r="J14" s="23"/>
      <c r="K14" s="10"/>
    </row>
    <row r="15" spans="2:11" x14ac:dyDescent="0.2">
      <c r="B15" t="s">
        <v>4</v>
      </c>
      <c r="C15">
        <v>6</v>
      </c>
      <c r="D15" t="s">
        <v>184</v>
      </c>
      <c r="E15" s="17">
        <f t="shared" si="1"/>
        <v>6.0000000000000001E-3</v>
      </c>
      <c r="F15" s="18">
        <f t="shared" si="0"/>
        <v>0.13200000000000001</v>
      </c>
      <c r="G15" s="11">
        <f t="shared" si="2"/>
        <v>26.400000000000002</v>
      </c>
      <c r="H15" s="4">
        <v>0</v>
      </c>
      <c r="I15" s="16"/>
      <c r="J15" s="23"/>
      <c r="K15" s="10"/>
    </row>
    <row r="16" spans="2:11" x14ac:dyDescent="0.2">
      <c r="B16" t="s">
        <v>32</v>
      </c>
      <c r="C16">
        <v>0.2</v>
      </c>
      <c r="D16" t="s">
        <v>184</v>
      </c>
      <c r="E16" s="17">
        <f t="shared" si="1"/>
        <v>2.0000000000000001E-4</v>
      </c>
      <c r="F16" s="18">
        <f t="shared" si="0"/>
        <v>4.4000000000000003E-3</v>
      </c>
      <c r="G16" s="11">
        <f t="shared" si="2"/>
        <v>0.88</v>
      </c>
      <c r="H16" s="4">
        <v>17</v>
      </c>
      <c r="I16" s="16"/>
      <c r="J16" s="23"/>
      <c r="K16" s="10"/>
    </row>
    <row r="17" spans="2:11" x14ac:dyDescent="0.2">
      <c r="B17" t="s">
        <v>124</v>
      </c>
      <c r="C17">
        <v>60</v>
      </c>
      <c r="D17" t="s">
        <v>184</v>
      </c>
      <c r="E17" s="17">
        <f t="shared" si="1"/>
        <v>0.06</v>
      </c>
      <c r="F17" s="18">
        <f>((E17*1)*4)</f>
        <v>0.24</v>
      </c>
      <c r="G17" s="11">
        <f t="shared" si="2"/>
        <v>48</v>
      </c>
      <c r="H17" s="4">
        <v>0</v>
      </c>
      <c r="I17" s="16"/>
      <c r="J17" s="23"/>
      <c r="K17" s="10"/>
    </row>
    <row r="18" spans="2:11" x14ac:dyDescent="0.2">
      <c r="B18" t="s">
        <v>130</v>
      </c>
      <c r="C18">
        <v>6</v>
      </c>
      <c r="D18" t="s">
        <v>185</v>
      </c>
      <c r="E18" s="17">
        <f t="shared" si="1"/>
        <v>6.0000000000000001E-3</v>
      </c>
      <c r="F18" s="18">
        <f t="shared" si="0"/>
        <v>0.13200000000000001</v>
      </c>
      <c r="G18" s="11">
        <f t="shared" si="2"/>
        <v>26.400000000000002</v>
      </c>
      <c r="H18" s="4">
        <v>13</v>
      </c>
      <c r="I18" s="16"/>
      <c r="J18" s="23"/>
      <c r="K18" s="10"/>
    </row>
    <row r="19" spans="2:11" x14ac:dyDescent="0.2">
      <c r="B19" t="s">
        <v>131</v>
      </c>
      <c r="C19">
        <v>60</v>
      </c>
      <c r="D19" t="s">
        <v>186</v>
      </c>
      <c r="E19" s="17">
        <f t="shared" si="1"/>
        <v>0.06</v>
      </c>
      <c r="F19" s="18">
        <f t="shared" si="0"/>
        <v>1.3199999999999998</v>
      </c>
      <c r="G19" s="11">
        <f t="shared" si="2"/>
        <v>263.99999999999994</v>
      </c>
      <c r="H19" s="4">
        <v>21</v>
      </c>
      <c r="I19" s="16"/>
      <c r="J19" s="23"/>
      <c r="K19" s="10"/>
    </row>
    <row r="20" spans="2:11" x14ac:dyDescent="0.2">
      <c r="B20" t="s">
        <v>10</v>
      </c>
      <c r="C20">
        <v>10</v>
      </c>
      <c r="D20" t="s">
        <v>184</v>
      </c>
      <c r="E20" s="17">
        <f t="shared" si="1"/>
        <v>0.01</v>
      </c>
      <c r="F20" s="18">
        <f t="shared" si="0"/>
        <v>0.22</v>
      </c>
      <c r="G20" s="11">
        <f t="shared" si="2"/>
        <v>44</v>
      </c>
      <c r="H20" s="4">
        <v>56</v>
      </c>
      <c r="I20" s="16"/>
      <c r="J20" s="23"/>
      <c r="K20" s="10"/>
    </row>
    <row r="21" spans="2:11" x14ac:dyDescent="0.2">
      <c r="B21" t="s">
        <v>12</v>
      </c>
      <c r="C21">
        <v>60</v>
      </c>
      <c r="D21" t="s">
        <v>184</v>
      </c>
      <c r="E21" s="17">
        <f t="shared" si="1"/>
        <v>0.06</v>
      </c>
      <c r="F21" s="18">
        <f t="shared" si="0"/>
        <v>1.3199999999999998</v>
      </c>
      <c r="G21" s="11">
        <f t="shared" si="2"/>
        <v>263.99999999999994</v>
      </c>
      <c r="H21" s="4">
        <v>96</v>
      </c>
      <c r="I21" s="16"/>
      <c r="J21" s="23"/>
      <c r="K21" s="10"/>
    </row>
    <row r="22" spans="2:11" x14ac:dyDescent="0.2">
      <c r="B22" t="s">
        <v>78</v>
      </c>
      <c r="C22">
        <v>500</v>
      </c>
      <c r="D22" t="s">
        <v>184</v>
      </c>
      <c r="E22" s="17">
        <f t="shared" si="1"/>
        <v>0.5</v>
      </c>
      <c r="F22" s="18">
        <f t="shared" si="0"/>
        <v>11</v>
      </c>
      <c r="G22" s="11">
        <f t="shared" si="2"/>
        <v>2200</v>
      </c>
      <c r="H22" s="4">
        <v>0</v>
      </c>
      <c r="I22" s="16"/>
      <c r="J22" s="23"/>
      <c r="K22" s="10"/>
    </row>
    <row r="23" spans="2:11" x14ac:dyDescent="0.2">
      <c r="B23" t="s">
        <v>11</v>
      </c>
      <c r="C23">
        <v>2</v>
      </c>
      <c r="D23" t="s">
        <v>184</v>
      </c>
      <c r="E23" s="17">
        <f t="shared" si="1"/>
        <v>2E-3</v>
      </c>
      <c r="F23" s="18">
        <f t="shared" si="0"/>
        <v>4.3999999999999997E-2</v>
      </c>
      <c r="G23" s="11">
        <f t="shared" si="2"/>
        <v>8.7999999999999989</v>
      </c>
      <c r="H23" s="4">
        <v>0</v>
      </c>
      <c r="I23" s="16"/>
      <c r="J23" s="23"/>
      <c r="K23" s="10"/>
    </row>
    <row r="24" spans="2:11" x14ac:dyDescent="0.2">
      <c r="B24" t="s">
        <v>13</v>
      </c>
      <c r="C24">
        <v>25</v>
      </c>
      <c r="D24" t="s">
        <v>184</v>
      </c>
      <c r="E24" s="17">
        <f t="shared" si="1"/>
        <v>2.5000000000000001E-2</v>
      </c>
      <c r="F24" s="18">
        <v>0</v>
      </c>
      <c r="G24" s="11">
        <f t="shared" si="2"/>
        <v>0</v>
      </c>
      <c r="H24" s="4">
        <v>72</v>
      </c>
      <c r="I24" s="16"/>
      <c r="J24" s="23"/>
      <c r="K24" s="10"/>
    </row>
    <row r="25" spans="2:11" x14ac:dyDescent="0.2">
      <c r="B25" t="s">
        <v>14</v>
      </c>
      <c r="C25">
        <v>20</v>
      </c>
      <c r="D25" t="s">
        <v>184</v>
      </c>
      <c r="E25" s="17">
        <f t="shared" si="1"/>
        <v>0.02</v>
      </c>
      <c r="F25" s="18">
        <f t="shared" ref="F25:F61" si="3">((E25*5.5)*4)</f>
        <v>0.44</v>
      </c>
      <c r="G25" s="11">
        <f t="shared" si="2"/>
        <v>88</v>
      </c>
      <c r="H25" s="4">
        <v>261</v>
      </c>
      <c r="I25" s="16"/>
      <c r="J25" s="23"/>
      <c r="K25" s="10"/>
    </row>
    <row r="26" spans="2:11" x14ac:dyDescent="0.2">
      <c r="B26" t="s">
        <v>153</v>
      </c>
      <c r="C26">
        <v>10</v>
      </c>
      <c r="D26" t="s">
        <v>187</v>
      </c>
      <c r="E26" s="17">
        <f t="shared" si="1"/>
        <v>0.01</v>
      </c>
      <c r="F26" s="18">
        <f t="shared" si="3"/>
        <v>0.22</v>
      </c>
      <c r="G26" s="11">
        <f t="shared" si="2"/>
        <v>44</v>
      </c>
      <c r="H26" s="4"/>
      <c r="I26" s="16"/>
      <c r="J26" s="23"/>
      <c r="K26" s="10"/>
    </row>
    <row r="27" spans="2:11" x14ac:dyDescent="0.2">
      <c r="B27" t="s">
        <v>132</v>
      </c>
      <c r="C27">
        <v>10</v>
      </c>
      <c r="D27" t="s">
        <v>188</v>
      </c>
      <c r="E27" s="17">
        <f t="shared" si="1"/>
        <v>0.01</v>
      </c>
      <c r="F27" s="18">
        <f t="shared" si="3"/>
        <v>0.22</v>
      </c>
      <c r="G27" s="11">
        <f t="shared" si="2"/>
        <v>44</v>
      </c>
      <c r="H27" s="4"/>
      <c r="I27" s="16"/>
      <c r="J27" s="23"/>
      <c r="K27" s="10"/>
    </row>
    <row r="28" spans="2:11" x14ac:dyDescent="0.2">
      <c r="B28" t="s">
        <v>0</v>
      </c>
      <c r="C28">
        <v>30</v>
      </c>
      <c r="D28" t="s">
        <v>184</v>
      </c>
      <c r="E28" s="17">
        <f t="shared" si="1"/>
        <v>0.03</v>
      </c>
      <c r="F28" s="18">
        <f t="shared" si="3"/>
        <v>0.65999999999999992</v>
      </c>
      <c r="G28" s="11">
        <f t="shared" si="2"/>
        <v>131.99999999999997</v>
      </c>
      <c r="H28" s="4"/>
      <c r="I28" s="16"/>
      <c r="J28" s="23"/>
      <c r="K28" s="10"/>
    </row>
    <row r="29" spans="2:11" x14ac:dyDescent="0.2">
      <c r="B29" t="s">
        <v>36</v>
      </c>
      <c r="C29">
        <v>10</v>
      </c>
      <c r="D29" t="s">
        <v>184</v>
      </c>
      <c r="E29" s="17">
        <f t="shared" si="1"/>
        <v>0.01</v>
      </c>
      <c r="F29" s="18">
        <f t="shared" si="3"/>
        <v>0.22</v>
      </c>
      <c r="G29" s="11">
        <f t="shared" si="2"/>
        <v>44</v>
      </c>
      <c r="H29" s="4"/>
      <c r="I29" s="16"/>
      <c r="J29" s="23"/>
      <c r="K29" s="10"/>
    </row>
    <row r="30" spans="2:11" x14ac:dyDescent="0.2">
      <c r="B30" t="s">
        <v>117</v>
      </c>
      <c r="C30">
        <v>30</v>
      </c>
      <c r="D30" t="s">
        <v>184</v>
      </c>
      <c r="E30" s="17">
        <f t="shared" si="1"/>
        <v>0.03</v>
      </c>
      <c r="F30" s="18">
        <f t="shared" si="3"/>
        <v>0.65999999999999992</v>
      </c>
      <c r="G30" s="11">
        <f t="shared" si="2"/>
        <v>131.99999999999997</v>
      </c>
      <c r="H30" s="4"/>
      <c r="I30" s="16"/>
      <c r="J30" s="23"/>
      <c r="K30" s="10"/>
    </row>
    <row r="31" spans="2:11" x14ac:dyDescent="0.2">
      <c r="B31" t="s">
        <v>133</v>
      </c>
      <c r="E31" s="17">
        <f t="shared" si="1"/>
        <v>0</v>
      </c>
      <c r="F31" s="18">
        <f t="shared" si="3"/>
        <v>0</v>
      </c>
      <c r="G31" s="11">
        <f t="shared" si="2"/>
        <v>0</v>
      </c>
      <c r="H31" s="4"/>
      <c r="I31" s="16"/>
      <c r="J31" s="23"/>
      <c r="K31" s="10"/>
    </row>
    <row r="32" spans="2:11" x14ac:dyDescent="0.2">
      <c r="B32" t="s">
        <v>134</v>
      </c>
      <c r="C32">
        <v>30</v>
      </c>
      <c r="D32" t="s">
        <v>189</v>
      </c>
      <c r="E32" s="17">
        <f t="shared" si="1"/>
        <v>0.03</v>
      </c>
      <c r="F32" s="18">
        <f t="shared" si="3"/>
        <v>0.65999999999999992</v>
      </c>
      <c r="G32" s="11">
        <f t="shared" si="2"/>
        <v>131.99999999999997</v>
      </c>
      <c r="H32" s="4"/>
      <c r="I32" s="16"/>
      <c r="J32" s="23"/>
      <c r="K32" s="10"/>
    </row>
    <row r="33" spans="2:11" x14ac:dyDescent="0.2">
      <c r="B33" t="s">
        <v>119</v>
      </c>
      <c r="C33">
        <v>30</v>
      </c>
      <c r="D33" t="s">
        <v>183</v>
      </c>
      <c r="E33" s="17">
        <f t="shared" si="1"/>
        <v>0.03</v>
      </c>
      <c r="F33" s="18">
        <f t="shared" si="3"/>
        <v>0.65999999999999992</v>
      </c>
      <c r="G33" s="11">
        <f t="shared" si="2"/>
        <v>131.99999999999997</v>
      </c>
      <c r="H33" s="4"/>
      <c r="I33" s="16"/>
      <c r="J33" s="23"/>
      <c r="K33" s="10"/>
    </row>
    <row r="34" spans="2:11" x14ac:dyDescent="0.2">
      <c r="B34" t="s">
        <v>120</v>
      </c>
      <c r="C34">
        <v>30</v>
      </c>
      <c r="D34" t="s">
        <v>183</v>
      </c>
      <c r="E34" s="17">
        <f t="shared" si="1"/>
        <v>0.03</v>
      </c>
      <c r="F34" s="18">
        <f t="shared" si="3"/>
        <v>0.65999999999999992</v>
      </c>
      <c r="G34" s="11">
        <f t="shared" si="2"/>
        <v>131.99999999999997</v>
      </c>
      <c r="H34" s="4"/>
      <c r="I34" s="16"/>
      <c r="J34" s="23"/>
      <c r="K34" s="10"/>
    </row>
    <row r="35" spans="2:11" x14ac:dyDescent="0.2">
      <c r="B35" t="s">
        <v>30</v>
      </c>
      <c r="C35">
        <v>30</v>
      </c>
      <c r="D35" t="s">
        <v>190</v>
      </c>
      <c r="E35" s="17">
        <f t="shared" si="1"/>
        <v>0.03</v>
      </c>
      <c r="F35" s="18">
        <f t="shared" si="3"/>
        <v>0.65999999999999992</v>
      </c>
      <c r="G35" s="11">
        <f t="shared" si="2"/>
        <v>131.99999999999997</v>
      </c>
      <c r="H35" s="4"/>
      <c r="I35" s="16"/>
      <c r="J35" s="23"/>
      <c r="K35" s="10"/>
    </row>
    <row r="36" spans="2:11" x14ac:dyDescent="0.2">
      <c r="B36" t="s">
        <v>20</v>
      </c>
      <c r="C36">
        <v>30</v>
      </c>
      <c r="D36" t="s">
        <v>184</v>
      </c>
      <c r="E36" s="17">
        <f t="shared" si="1"/>
        <v>0.03</v>
      </c>
      <c r="F36" s="18">
        <f t="shared" si="3"/>
        <v>0.65999999999999992</v>
      </c>
      <c r="G36" s="11">
        <f t="shared" si="2"/>
        <v>131.99999999999997</v>
      </c>
      <c r="H36" s="4"/>
      <c r="I36" s="16"/>
      <c r="J36" s="23"/>
      <c r="K36" s="10"/>
    </row>
    <row r="37" spans="2:11" x14ac:dyDescent="0.2">
      <c r="B37" t="s">
        <v>6</v>
      </c>
      <c r="C37">
        <v>100</v>
      </c>
      <c r="D37" t="s">
        <v>184</v>
      </c>
      <c r="E37" s="17">
        <f t="shared" si="1"/>
        <v>0.1</v>
      </c>
      <c r="F37" s="18">
        <f t="shared" si="3"/>
        <v>2.2000000000000002</v>
      </c>
      <c r="G37" s="11">
        <f t="shared" si="2"/>
        <v>440.00000000000006</v>
      </c>
      <c r="H37" s="4"/>
      <c r="I37" s="16"/>
      <c r="J37" s="23"/>
      <c r="K37" s="10"/>
    </row>
    <row r="38" spans="2:11" x14ac:dyDescent="0.2">
      <c r="B38" t="s">
        <v>74</v>
      </c>
      <c r="C38">
        <v>1</v>
      </c>
      <c r="D38" t="s">
        <v>184</v>
      </c>
      <c r="E38" s="17">
        <f t="shared" si="1"/>
        <v>1E-3</v>
      </c>
      <c r="F38" s="18">
        <f t="shared" si="3"/>
        <v>2.1999999999999999E-2</v>
      </c>
      <c r="G38" s="11">
        <f t="shared" si="2"/>
        <v>4.3999999999999995</v>
      </c>
      <c r="H38" s="4"/>
      <c r="I38" s="16"/>
      <c r="J38" s="23"/>
      <c r="K38" s="10"/>
    </row>
    <row r="39" spans="2:11" x14ac:dyDescent="0.2">
      <c r="B39" t="s">
        <v>73</v>
      </c>
      <c r="C39">
        <v>10</v>
      </c>
      <c r="D39" t="s">
        <v>184</v>
      </c>
      <c r="E39" s="17">
        <f t="shared" si="1"/>
        <v>0.01</v>
      </c>
      <c r="F39" s="18">
        <f t="shared" si="3"/>
        <v>0.22</v>
      </c>
      <c r="G39" s="11">
        <f t="shared" si="2"/>
        <v>44</v>
      </c>
      <c r="H39" s="4"/>
      <c r="I39" s="16"/>
      <c r="J39" s="23"/>
      <c r="K39" s="10"/>
    </row>
    <row r="40" spans="2:11" x14ac:dyDescent="0.2">
      <c r="B40" t="s">
        <v>75</v>
      </c>
      <c r="C40">
        <v>10</v>
      </c>
      <c r="D40" t="s">
        <v>184</v>
      </c>
      <c r="E40" s="17">
        <f t="shared" si="1"/>
        <v>0.01</v>
      </c>
      <c r="F40" s="18">
        <f t="shared" si="3"/>
        <v>0.22</v>
      </c>
      <c r="G40" s="11">
        <f t="shared" si="2"/>
        <v>44</v>
      </c>
      <c r="H40" s="4"/>
      <c r="I40" s="16"/>
      <c r="J40" s="23"/>
      <c r="K40" s="10"/>
    </row>
    <row r="41" spans="2:11" x14ac:dyDescent="0.2">
      <c r="B41" t="s">
        <v>29</v>
      </c>
      <c r="C41">
        <v>25</v>
      </c>
      <c r="D41" t="s">
        <v>184</v>
      </c>
      <c r="E41" s="17">
        <f t="shared" si="1"/>
        <v>2.5000000000000001E-2</v>
      </c>
      <c r="F41" s="18">
        <f t="shared" si="3"/>
        <v>0.55000000000000004</v>
      </c>
      <c r="G41" s="11">
        <f t="shared" si="2"/>
        <v>110.00000000000001</v>
      </c>
      <c r="H41" s="4"/>
      <c r="I41" s="16"/>
      <c r="J41" s="23"/>
      <c r="K41" s="10"/>
    </row>
    <row r="42" spans="2:11" x14ac:dyDescent="0.2">
      <c r="B42" t="s">
        <v>126</v>
      </c>
      <c r="C42">
        <v>30</v>
      </c>
      <c r="D42" t="s">
        <v>184</v>
      </c>
      <c r="E42" s="17">
        <f t="shared" si="1"/>
        <v>0.03</v>
      </c>
      <c r="F42" s="18">
        <f t="shared" si="3"/>
        <v>0.65999999999999992</v>
      </c>
      <c r="G42" s="11">
        <f t="shared" si="2"/>
        <v>131.99999999999997</v>
      </c>
      <c r="H42" s="4"/>
      <c r="I42" s="16"/>
      <c r="J42" s="23"/>
      <c r="K42" s="10"/>
    </row>
    <row r="43" spans="2:11" x14ac:dyDescent="0.2">
      <c r="B43" t="s">
        <v>27</v>
      </c>
      <c r="C43">
        <v>30</v>
      </c>
      <c r="D43" t="s">
        <v>184</v>
      </c>
      <c r="E43" s="17">
        <f t="shared" si="1"/>
        <v>0.03</v>
      </c>
      <c r="F43" s="18">
        <f t="shared" si="3"/>
        <v>0.65999999999999992</v>
      </c>
      <c r="G43" s="11">
        <f t="shared" si="2"/>
        <v>131.99999999999997</v>
      </c>
      <c r="H43" s="4"/>
      <c r="I43" s="16"/>
      <c r="J43" s="23"/>
      <c r="K43" s="10"/>
    </row>
    <row r="44" spans="2:11" x14ac:dyDescent="0.2">
      <c r="B44" t="s">
        <v>23</v>
      </c>
      <c r="C44">
        <v>30</v>
      </c>
      <c r="D44" t="s">
        <v>184</v>
      </c>
      <c r="E44" s="17">
        <f t="shared" si="1"/>
        <v>0.03</v>
      </c>
      <c r="F44" s="18">
        <f t="shared" si="3"/>
        <v>0.65999999999999992</v>
      </c>
      <c r="G44" s="11">
        <f t="shared" si="2"/>
        <v>131.99999999999997</v>
      </c>
      <c r="H44" s="4"/>
      <c r="I44" s="16"/>
      <c r="J44" s="23"/>
      <c r="K44" s="10"/>
    </row>
    <row r="45" spans="2:11" x14ac:dyDescent="0.2">
      <c r="B45" t="s">
        <v>22</v>
      </c>
      <c r="C45">
        <v>30</v>
      </c>
      <c r="D45" t="s">
        <v>184</v>
      </c>
      <c r="E45" s="17">
        <f t="shared" si="1"/>
        <v>0.03</v>
      </c>
      <c r="F45" s="18">
        <f t="shared" si="3"/>
        <v>0.65999999999999992</v>
      </c>
      <c r="G45" s="11">
        <f t="shared" si="2"/>
        <v>131.99999999999997</v>
      </c>
      <c r="H45" s="4"/>
      <c r="I45" s="16"/>
      <c r="J45" s="23"/>
      <c r="K45" s="10"/>
    </row>
    <row r="46" spans="2:11" x14ac:dyDescent="0.2">
      <c r="B46" t="s">
        <v>24</v>
      </c>
      <c r="C46">
        <v>30</v>
      </c>
      <c r="D46" t="s">
        <v>184</v>
      </c>
      <c r="E46" s="17">
        <f t="shared" si="1"/>
        <v>0.03</v>
      </c>
      <c r="F46" s="18">
        <f t="shared" si="3"/>
        <v>0.65999999999999992</v>
      </c>
      <c r="G46" s="11">
        <f t="shared" si="2"/>
        <v>131.99999999999997</v>
      </c>
      <c r="H46" s="4"/>
      <c r="I46" s="16"/>
      <c r="J46" s="23"/>
      <c r="K46" s="10"/>
    </row>
    <row r="47" spans="2:11" x14ac:dyDescent="0.2">
      <c r="B47" t="s">
        <v>25</v>
      </c>
      <c r="C47">
        <v>30</v>
      </c>
      <c r="D47" t="s">
        <v>184</v>
      </c>
      <c r="E47" s="17">
        <f t="shared" si="1"/>
        <v>0.03</v>
      </c>
      <c r="F47" s="18">
        <f t="shared" si="3"/>
        <v>0.65999999999999992</v>
      </c>
      <c r="G47" s="11">
        <f t="shared" si="2"/>
        <v>131.99999999999997</v>
      </c>
      <c r="H47" s="4"/>
      <c r="I47" s="16"/>
      <c r="J47" s="23"/>
      <c r="K47" s="10"/>
    </row>
    <row r="48" spans="2:11" x14ac:dyDescent="0.2">
      <c r="B48" t="s">
        <v>34</v>
      </c>
      <c r="C48">
        <v>2</v>
      </c>
      <c r="D48" t="s">
        <v>184</v>
      </c>
      <c r="E48" s="17">
        <f t="shared" si="1"/>
        <v>2E-3</v>
      </c>
      <c r="F48" s="18">
        <f t="shared" si="3"/>
        <v>4.3999999999999997E-2</v>
      </c>
      <c r="G48" s="11">
        <f t="shared" si="2"/>
        <v>8.7999999999999989</v>
      </c>
      <c r="H48" s="4"/>
      <c r="I48" s="16"/>
      <c r="J48" s="23"/>
      <c r="K48" s="10"/>
    </row>
    <row r="49" spans="2:11" x14ac:dyDescent="0.2">
      <c r="B49" t="s">
        <v>33</v>
      </c>
      <c r="C49">
        <v>2</v>
      </c>
      <c r="D49" t="s">
        <v>184</v>
      </c>
      <c r="E49" s="17">
        <f t="shared" si="1"/>
        <v>2E-3</v>
      </c>
      <c r="F49" s="18">
        <f t="shared" si="3"/>
        <v>4.3999999999999997E-2</v>
      </c>
      <c r="G49" s="11">
        <f t="shared" si="2"/>
        <v>8.7999999999999989</v>
      </c>
      <c r="H49" s="4"/>
      <c r="I49" s="16"/>
      <c r="J49" s="23"/>
      <c r="K49" s="10"/>
    </row>
    <row r="50" spans="2:11" x14ac:dyDescent="0.2">
      <c r="B50" t="s">
        <v>5</v>
      </c>
      <c r="C50">
        <v>100</v>
      </c>
      <c r="D50" t="s">
        <v>184</v>
      </c>
      <c r="E50" s="17">
        <f t="shared" si="1"/>
        <v>0.1</v>
      </c>
      <c r="F50" s="18">
        <f t="shared" si="3"/>
        <v>2.2000000000000002</v>
      </c>
      <c r="G50" s="11">
        <f t="shared" si="2"/>
        <v>440.00000000000006</v>
      </c>
      <c r="H50" s="4"/>
      <c r="I50" s="16"/>
      <c r="J50" s="23"/>
      <c r="K50" s="10"/>
    </row>
    <row r="51" spans="2:11" x14ac:dyDescent="0.2">
      <c r="B51" t="s">
        <v>138</v>
      </c>
      <c r="C51">
        <v>25</v>
      </c>
      <c r="D51" t="s">
        <v>184</v>
      </c>
      <c r="E51" s="17">
        <f t="shared" si="1"/>
        <v>2.5000000000000001E-2</v>
      </c>
      <c r="F51" s="18">
        <f t="shared" si="3"/>
        <v>0.55000000000000004</v>
      </c>
      <c r="G51" s="11">
        <f t="shared" si="2"/>
        <v>110.00000000000001</v>
      </c>
      <c r="H51" s="4"/>
      <c r="I51" s="16"/>
      <c r="J51" s="23"/>
      <c r="K51" s="10"/>
    </row>
    <row r="52" spans="2:11" x14ac:dyDescent="0.2">
      <c r="B52" t="s">
        <v>127</v>
      </c>
      <c r="C52">
        <v>10</v>
      </c>
      <c r="D52" t="s">
        <v>184</v>
      </c>
      <c r="E52" s="17">
        <f t="shared" si="1"/>
        <v>0.01</v>
      </c>
      <c r="F52" s="18">
        <f t="shared" si="3"/>
        <v>0.22</v>
      </c>
      <c r="G52" s="11">
        <f t="shared" si="2"/>
        <v>44</v>
      </c>
      <c r="H52" s="4"/>
      <c r="I52" s="16"/>
      <c r="J52" s="23"/>
      <c r="K52" s="10"/>
    </row>
    <row r="53" spans="2:11" x14ac:dyDescent="0.2">
      <c r="B53" t="s">
        <v>8</v>
      </c>
      <c r="C53">
        <v>15</v>
      </c>
      <c r="D53" t="s">
        <v>184</v>
      </c>
      <c r="E53" s="17">
        <f t="shared" si="1"/>
        <v>1.4999999999999999E-2</v>
      </c>
      <c r="F53" s="18">
        <f t="shared" si="3"/>
        <v>0.32999999999999996</v>
      </c>
      <c r="G53" s="11">
        <f t="shared" si="2"/>
        <v>65.999999999999986</v>
      </c>
      <c r="H53" s="4"/>
      <c r="I53" s="16"/>
      <c r="J53" s="23"/>
      <c r="K53" s="10"/>
    </row>
    <row r="54" spans="2:11" x14ac:dyDescent="0.2">
      <c r="B54" t="s">
        <v>16</v>
      </c>
      <c r="C54">
        <v>20</v>
      </c>
      <c r="D54" t="s">
        <v>184</v>
      </c>
      <c r="E54" s="17">
        <f t="shared" si="1"/>
        <v>0.02</v>
      </c>
      <c r="F54" s="18">
        <f t="shared" si="3"/>
        <v>0.44</v>
      </c>
      <c r="G54" s="11">
        <f t="shared" si="2"/>
        <v>88</v>
      </c>
      <c r="H54" s="4"/>
      <c r="I54" s="16"/>
      <c r="J54" s="23"/>
      <c r="K54" s="10"/>
    </row>
    <row r="55" spans="2:11" x14ac:dyDescent="0.2">
      <c r="B55" t="s">
        <v>35</v>
      </c>
      <c r="C55">
        <v>20</v>
      </c>
      <c r="D55" t="s">
        <v>184</v>
      </c>
      <c r="E55" s="17">
        <f t="shared" si="1"/>
        <v>0.02</v>
      </c>
      <c r="F55" s="18">
        <f t="shared" si="3"/>
        <v>0.44</v>
      </c>
      <c r="H55" s="4"/>
      <c r="I55" s="16"/>
      <c r="J55" s="23"/>
      <c r="K55" s="10"/>
    </row>
    <row r="56" spans="2:11" x14ac:dyDescent="0.2">
      <c r="B56" t="s">
        <v>136</v>
      </c>
      <c r="C56">
        <v>20</v>
      </c>
      <c r="D56" t="s">
        <v>184</v>
      </c>
      <c r="E56" s="17">
        <f t="shared" si="1"/>
        <v>0.02</v>
      </c>
      <c r="F56" s="18">
        <f t="shared" si="3"/>
        <v>0.44</v>
      </c>
      <c r="H56" s="4"/>
      <c r="I56" s="16"/>
      <c r="J56" s="23"/>
      <c r="K56" s="10"/>
    </row>
    <row r="57" spans="2:11" x14ac:dyDescent="0.2">
      <c r="B57" t="s">
        <v>137</v>
      </c>
      <c r="C57">
        <v>15</v>
      </c>
      <c r="D57" t="s">
        <v>184</v>
      </c>
      <c r="E57" s="17">
        <f t="shared" si="1"/>
        <v>1.4999999999999999E-2</v>
      </c>
      <c r="F57" s="18">
        <f t="shared" si="3"/>
        <v>0.32999999999999996</v>
      </c>
      <c r="H57" s="4"/>
      <c r="I57" s="16"/>
      <c r="J57" s="23"/>
      <c r="K57" s="10"/>
    </row>
    <row r="58" spans="2:11" x14ac:dyDescent="0.2">
      <c r="B58" t="s">
        <v>139</v>
      </c>
      <c r="C58">
        <v>15</v>
      </c>
      <c r="D58" t="s">
        <v>191</v>
      </c>
      <c r="E58" s="17">
        <f t="shared" si="1"/>
        <v>1.4999999999999999E-2</v>
      </c>
      <c r="F58" s="18">
        <f t="shared" si="3"/>
        <v>0.32999999999999996</v>
      </c>
      <c r="H58" s="4"/>
      <c r="I58" s="16"/>
      <c r="J58" s="23"/>
      <c r="K58" s="10"/>
    </row>
    <row r="59" spans="2:11" x14ac:dyDescent="0.2">
      <c r="B59" t="s">
        <v>18</v>
      </c>
      <c r="C59">
        <v>1</v>
      </c>
      <c r="D59" t="s">
        <v>192</v>
      </c>
      <c r="E59" s="17">
        <f t="shared" si="1"/>
        <v>1E-3</v>
      </c>
      <c r="F59" s="18">
        <f t="shared" si="3"/>
        <v>2.1999999999999999E-2</v>
      </c>
      <c r="H59" s="4"/>
      <c r="I59" s="16"/>
      <c r="J59" s="23"/>
      <c r="K59" s="10"/>
    </row>
    <row r="60" spans="2:11" x14ac:dyDescent="0.2">
      <c r="B60" t="s">
        <v>76</v>
      </c>
      <c r="C60">
        <v>25</v>
      </c>
      <c r="D60" t="s">
        <v>184</v>
      </c>
      <c r="E60" s="17">
        <f t="shared" si="1"/>
        <v>2.5000000000000001E-2</v>
      </c>
      <c r="F60" s="18">
        <f t="shared" si="3"/>
        <v>0.55000000000000004</v>
      </c>
      <c r="H60" s="4"/>
      <c r="I60" s="16"/>
      <c r="J60" s="23"/>
      <c r="K60" s="10"/>
    </row>
    <row r="61" spans="2:11" x14ac:dyDescent="0.2">
      <c r="B61" t="s">
        <v>21</v>
      </c>
      <c r="C61">
        <v>15</v>
      </c>
      <c r="D61" t="s">
        <v>183</v>
      </c>
      <c r="E61" s="17">
        <f t="shared" si="1"/>
        <v>1.4999999999999999E-2</v>
      </c>
      <c r="F61" s="18">
        <f t="shared" si="3"/>
        <v>0.32999999999999996</v>
      </c>
      <c r="H61" s="4"/>
      <c r="I61" s="16"/>
      <c r="J61" s="23"/>
      <c r="K61" s="10"/>
    </row>
    <row r="62" spans="2:11" x14ac:dyDescent="0.2">
      <c r="E62" s="17"/>
      <c r="I62" s="10">
        <f>G62-H62</f>
        <v>0</v>
      </c>
      <c r="J62" s="10"/>
      <c r="K62" s="10"/>
    </row>
    <row r="63" spans="2:11" x14ac:dyDescent="0.2">
      <c r="I63" s="10">
        <f>G63-H63</f>
        <v>0</v>
      </c>
    </row>
    <row r="64" spans="2:11" x14ac:dyDescent="0.2">
      <c r="I64" s="10">
        <f>G64-H64</f>
        <v>0</v>
      </c>
    </row>
    <row r="65" spans="2:10" x14ac:dyDescent="0.2">
      <c r="B65" s="3"/>
      <c r="I65" s="10">
        <f>G65-H65</f>
        <v>0</v>
      </c>
    </row>
    <row r="66" spans="2:10" x14ac:dyDescent="0.2">
      <c r="I66" s="10">
        <f>G66-H66</f>
        <v>0</v>
      </c>
    </row>
    <row r="67" spans="2:10" x14ac:dyDescent="0.2">
      <c r="B67" t="s">
        <v>156</v>
      </c>
      <c r="G67" t="s">
        <v>94</v>
      </c>
      <c r="H67">
        <v>122</v>
      </c>
      <c r="I67" s="3">
        <v>1</v>
      </c>
      <c r="J67" s="20">
        <v>456</v>
      </c>
    </row>
    <row r="68" spans="2:10" x14ac:dyDescent="0.2">
      <c r="B68" t="s">
        <v>157</v>
      </c>
      <c r="F68">
        <v>10</v>
      </c>
      <c r="G68" t="s">
        <v>140</v>
      </c>
      <c r="H68">
        <v>25</v>
      </c>
      <c r="I68" s="3">
        <v>1</v>
      </c>
      <c r="J68" s="20">
        <v>456</v>
      </c>
    </row>
    <row r="69" spans="2:10" x14ac:dyDescent="0.2">
      <c r="B69" t="s">
        <v>155</v>
      </c>
      <c r="F69">
        <v>500</v>
      </c>
      <c r="G69" t="s">
        <v>141</v>
      </c>
      <c r="H69">
        <v>10</v>
      </c>
      <c r="I69" s="3">
        <v>20000</v>
      </c>
      <c r="J69" s="20">
        <v>0</v>
      </c>
    </row>
    <row r="70" spans="2:10" x14ac:dyDescent="0.2">
      <c r="B70" t="s">
        <v>147</v>
      </c>
      <c r="F70">
        <v>2</v>
      </c>
      <c r="G70" t="s">
        <v>144</v>
      </c>
      <c r="H70">
        <v>10</v>
      </c>
      <c r="I70" s="3">
        <v>0</v>
      </c>
      <c r="J70" s="20">
        <v>0</v>
      </c>
    </row>
    <row r="71" spans="2:10" x14ac:dyDescent="0.2">
      <c r="B71" t="s">
        <v>140</v>
      </c>
      <c r="F71">
        <v>4</v>
      </c>
      <c r="G71" t="s">
        <v>82</v>
      </c>
      <c r="H71">
        <v>92</v>
      </c>
      <c r="I71" s="3">
        <v>4</v>
      </c>
      <c r="J71" s="20">
        <v>0</v>
      </c>
    </row>
    <row r="72" spans="2:10" x14ac:dyDescent="0.2">
      <c r="B72" t="s">
        <v>94</v>
      </c>
      <c r="F72">
        <v>4</v>
      </c>
      <c r="G72" t="s">
        <v>81</v>
      </c>
      <c r="H72">
        <v>173</v>
      </c>
      <c r="I72" s="3">
        <v>1</v>
      </c>
      <c r="J72" s="20">
        <v>550</v>
      </c>
    </row>
    <row r="73" spans="2:10" x14ac:dyDescent="0.2">
      <c r="B73" t="s">
        <v>145</v>
      </c>
      <c r="F73">
        <v>2</v>
      </c>
      <c r="G73" t="s">
        <v>80</v>
      </c>
      <c r="H73">
        <v>0</v>
      </c>
      <c r="I73" s="3">
        <v>2</v>
      </c>
      <c r="J73" s="20">
        <v>0</v>
      </c>
    </row>
    <row r="74" spans="2:10" x14ac:dyDescent="0.2">
      <c r="B74" t="s">
        <v>93</v>
      </c>
      <c r="F74">
        <v>1</v>
      </c>
      <c r="G74" t="s">
        <v>151</v>
      </c>
      <c r="H74">
        <v>10</v>
      </c>
      <c r="I74" s="3">
        <v>6</v>
      </c>
      <c r="J74" s="20">
        <v>1244</v>
      </c>
    </row>
    <row r="75" spans="2:10" x14ac:dyDescent="0.2">
      <c r="B75" t="s">
        <v>92</v>
      </c>
      <c r="F75">
        <v>18</v>
      </c>
      <c r="G75" t="s">
        <v>84</v>
      </c>
      <c r="H75">
        <v>55</v>
      </c>
      <c r="I75" s="3">
        <v>0</v>
      </c>
      <c r="J75" s="20">
        <v>990</v>
      </c>
    </row>
    <row r="76" spans="2:10" x14ac:dyDescent="0.2">
      <c r="B76" t="s">
        <v>141</v>
      </c>
      <c r="F76">
        <v>5</v>
      </c>
      <c r="G76" t="s">
        <v>85</v>
      </c>
      <c r="H76">
        <v>136</v>
      </c>
      <c r="I76" s="3">
        <v>6</v>
      </c>
      <c r="J76" s="20">
        <v>0</v>
      </c>
    </row>
    <row r="77" spans="2:10" x14ac:dyDescent="0.2">
      <c r="B77" t="s">
        <v>82</v>
      </c>
      <c r="F77">
        <v>0</v>
      </c>
      <c r="G77" t="s">
        <v>92</v>
      </c>
      <c r="H77">
        <v>15</v>
      </c>
      <c r="I77" s="3">
        <v>0</v>
      </c>
      <c r="J77" s="20">
        <v>123</v>
      </c>
    </row>
    <row r="78" spans="2:10" x14ac:dyDescent="0.2">
      <c r="B78" t="s">
        <v>144</v>
      </c>
      <c r="F78">
        <v>4</v>
      </c>
      <c r="G78" t="s">
        <v>93</v>
      </c>
      <c r="H78">
        <v>0</v>
      </c>
      <c r="I78" s="3">
        <v>4</v>
      </c>
      <c r="J78" s="20">
        <v>0</v>
      </c>
    </row>
    <row r="79" spans="2:10" x14ac:dyDescent="0.2">
      <c r="B79" t="s">
        <v>152</v>
      </c>
      <c r="F79">
        <v>0</v>
      </c>
      <c r="G79" t="s">
        <v>145</v>
      </c>
      <c r="H79">
        <v>72</v>
      </c>
      <c r="I79" s="3">
        <v>0</v>
      </c>
      <c r="J79" s="20">
        <v>567</v>
      </c>
    </row>
    <row r="80" spans="2:10" x14ac:dyDescent="0.2">
      <c r="B80" t="s">
        <v>81</v>
      </c>
      <c r="F80">
        <v>15</v>
      </c>
      <c r="G80" t="s">
        <v>147</v>
      </c>
      <c r="H80">
        <v>5</v>
      </c>
      <c r="I80" s="3">
        <v>0</v>
      </c>
      <c r="J80" s="20">
        <v>0</v>
      </c>
    </row>
    <row r="81" spans="2:10" x14ac:dyDescent="0.2">
      <c r="B81" t="s">
        <v>80</v>
      </c>
      <c r="F81">
        <v>1</v>
      </c>
      <c r="G81" t="s">
        <v>148</v>
      </c>
      <c r="H81">
        <v>59</v>
      </c>
      <c r="I81" s="3">
        <v>2</v>
      </c>
      <c r="J81" s="20">
        <v>0</v>
      </c>
    </row>
    <row r="82" spans="2:10" x14ac:dyDescent="0.2">
      <c r="B82" t="s">
        <v>151</v>
      </c>
      <c r="F82">
        <v>1</v>
      </c>
      <c r="G82" t="s">
        <v>149</v>
      </c>
      <c r="H82">
        <v>40</v>
      </c>
      <c r="I82" s="3">
        <v>0</v>
      </c>
      <c r="J82" s="20">
        <v>678</v>
      </c>
    </row>
    <row r="83" spans="2:10" x14ac:dyDescent="0.2">
      <c r="B83" t="s">
        <v>149</v>
      </c>
      <c r="F83">
        <v>1</v>
      </c>
      <c r="G83" t="s">
        <v>150</v>
      </c>
      <c r="H83">
        <v>9</v>
      </c>
      <c r="I83" s="3">
        <v>0</v>
      </c>
      <c r="J83" s="20">
        <v>134</v>
      </c>
    </row>
    <row r="84" spans="2:10" x14ac:dyDescent="0.2">
      <c r="B84" t="s">
        <v>148</v>
      </c>
      <c r="F84">
        <v>1</v>
      </c>
      <c r="G84" t="s">
        <v>152</v>
      </c>
      <c r="H84">
        <v>0</v>
      </c>
      <c r="I84" s="3">
        <v>2</v>
      </c>
      <c r="J84" s="20">
        <v>0</v>
      </c>
    </row>
    <row r="85" spans="2:10" x14ac:dyDescent="0.2">
      <c r="B85" t="s">
        <v>150</v>
      </c>
      <c r="F85">
        <v>2</v>
      </c>
      <c r="G85" t="s">
        <v>155</v>
      </c>
      <c r="H85">
        <v>4500</v>
      </c>
      <c r="I85" s="3">
        <v>0</v>
      </c>
      <c r="J85" s="20">
        <v>0</v>
      </c>
    </row>
    <row r="86" spans="2:10" x14ac:dyDescent="0.2">
      <c r="B86" t="s">
        <v>84</v>
      </c>
      <c r="F86">
        <v>50</v>
      </c>
      <c r="G86" t="s">
        <v>156</v>
      </c>
      <c r="H86">
        <v>2640</v>
      </c>
      <c r="I86" s="3">
        <v>0</v>
      </c>
      <c r="J86" s="20">
        <v>134</v>
      </c>
    </row>
    <row r="87" spans="2:10" x14ac:dyDescent="0.2">
      <c r="B87" t="s">
        <v>85</v>
      </c>
      <c r="F87">
        <v>4</v>
      </c>
      <c r="G87" t="s">
        <v>157</v>
      </c>
      <c r="H87">
        <v>4720</v>
      </c>
      <c r="I87" s="3">
        <v>0</v>
      </c>
      <c r="J87" s="20">
        <v>356</v>
      </c>
    </row>
    <row r="88" spans="2:10" x14ac:dyDescent="0.2">
      <c r="B88" t="s">
        <v>171</v>
      </c>
      <c r="F88">
        <v>1</v>
      </c>
      <c r="I88" s="3">
        <v>0</v>
      </c>
      <c r="J88" s="20">
        <v>345</v>
      </c>
    </row>
    <row r="89" spans="2:10" x14ac:dyDescent="0.2">
      <c r="B89" t="s">
        <v>172</v>
      </c>
      <c r="F89">
        <v>1</v>
      </c>
      <c r="I89" s="3">
        <v>2</v>
      </c>
      <c r="J89" s="20">
        <v>177</v>
      </c>
    </row>
    <row r="90" spans="2:10" x14ac:dyDescent="0.2">
      <c r="B90" t="s">
        <v>173</v>
      </c>
      <c r="I90" s="3">
        <v>0</v>
      </c>
      <c r="J90" s="20"/>
    </row>
  </sheetData>
  <mergeCells count="1">
    <mergeCell ref="C4:E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2</vt:i4>
      </vt:variant>
    </vt:vector>
  </HeadingPairs>
  <TitlesOfParts>
    <vt:vector size="9" baseType="lpstr">
      <vt:lpstr>Compra Carnes</vt:lpstr>
      <vt:lpstr>STOCK</vt:lpstr>
      <vt:lpstr>pauta-compra</vt:lpstr>
      <vt:lpstr>Hoja1</vt:lpstr>
      <vt:lpstr>Guia Entr-Ali.Casi.</vt:lpstr>
      <vt:lpstr>Gia C.Mensual</vt:lpstr>
      <vt:lpstr>Hoja2</vt:lpstr>
      <vt:lpstr>'pauta-compra'!Área_de_impresión</vt:lpstr>
      <vt:lpstr>STOCK!Área_de_impresión</vt:lpstr>
    </vt:vector>
  </TitlesOfParts>
  <Company>Soporte Bio Bio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Software Registrado</dc:creator>
  <cp:lastModifiedBy>Jose</cp:lastModifiedBy>
  <cp:lastPrinted>2010-09-29T22:21:41Z</cp:lastPrinted>
  <dcterms:created xsi:type="dcterms:W3CDTF">2007-06-30T15:28:19Z</dcterms:created>
  <dcterms:modified xsi:type="dcterms:W3CDTF">2013-07-23T17:28:38Z</dcterms:modified>
</cp:coreProperties>
</file>